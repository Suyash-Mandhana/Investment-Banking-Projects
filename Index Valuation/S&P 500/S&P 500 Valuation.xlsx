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4ac7544383a9385/Desktop/Suyash/Valuation ^0 Financial Modelling/Index Valuation/"/>
    </mc:Choice>
  </mc:AlternateContent>
  <xr:revisionPtr revIDLastSave="1181" documentId="11_F25DC773A252ABDACC10485621DD7B925ADE58EC" xr6:coauthVersionLast="47" xr6:coauthVersionMax="47" xr10:uidLastSave="{5ABC7344-6633-49A6-9BDA-898E19ABBDB8}"/>
  <workbookProtection workbookAlgorithmName="SHA-512" workbookHashValue="vQ9nCyziOXGsD5bR0yvbWu8RogKDdc+AsIBg2RJWSXFpg6V6f9gGg5gyGsie6sqfkRkQZnbhL1rg3x40IOUdFg==" workbookSaltValue="BJwbuxCw98njvH96QgEbUg==" workbookSpinCount="100000" lockStructure="1"/>
  <bookViews>
    <workbookView xWindow="-108" yWindow="-108" windowWidth="23256" windowHeight="12456" activeTab="1" xr2:uid="{00000000-000D-0000-FFFF-FFFF00000000}"/>
  </bookViews>
  <sheets>
    <sheet name="Valuation&gt;" sheetId="1" r:id="rId1"/>
    <sheet name="Valuation" sheetId="2" r:id="rId2"/>
    <sheet name="Data&gt;" sheetId="3" r:id="rId3"/>
    <sheet name="Exp. Div&amp;BB" sheetId="6" r:id="rId4"/>
    <sheet name="S&amp;P 500 EPS Growth" sheetId="9" r:id="rId5"/>
    <sheet name="S&amp;P 500 Historical" sheetId="8" r:id="rId6"/>
    <sheet name="ERP Historical" sheetId="5" r:id="rId7"/>
    <sheet name="Rf Historical" sheetId="4" r:id="rId8"/>
  </sheets>
  <definedNames>
    <definedName name="_xlnm._FilterDatabase" localSheetId="6" hidden="1">'ERP Historical'!$B$2:$C$59</definedName>
    <definedName name="_xlnm._FilterDatabase" localSheetId="7" hidden="1">'Rf Historical'!$B$2:$C$672</definedName>
    <definedName name="_xlnm._FilterDatabase" localSheetId="5" hidden="1">'S&amp;P 500 Historical'!$B$2:$D$314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4" l="1"/>
  <c r="G3" i="4"/>
  <c r="I28" i="9"/>
  <c r="F27" i="6"/>
  <c r="F26" i="6"/>
  <c r="F25" i="6"/>
  <c r="F24" i="6"/>
  <c r="F23" i="6"/>
  <c r="F17" i="6"/>
  <c r="F16" i="6"/>
  <c r="F15" i="6"/>
  <c r="F14" i="6"/>
  <c r="F13" i="6"/>
  <c r="F12" i="6"/>
  <c r="F11" i="6"/>
  <c r="B21" i="2"/>
  <c r="B22" i="2" s="1"/>
  <c r="B23" i="2" s="1"/>
  <c r="B24" i="2" s="1"/>
  <c r="B25" i="2" s="1"/>
  <c r="B26" i="2" s="1"/>
  <c r="B27" i="2" s="1"/>
  <c r="B28" i="2" s="1"/>
  <c r="B20" i="2"/>
  <c r="D8" i="2"/>
  <c r="D12" i="2"/>
  <c r="D11" i="2"/>
  <c r="C7" i="2"/>
  <c r="D7" i="2" s="1"/>
  <c r="G28" i="6"/>
  <c r="G3" i="6"/>
  <c r="F28" i="6"/>
  <c r="F7" i="6"/>
  <c r="F3" i="6"/>
  <c r="F22" i="6"/>
  <c r="F21" i="6"/>
  <c r="F20" i="6"/>
  <c r="F19" i="6"/>
  <c r="F18" i="6"/>
  <c r="F10" i="6"/>
  <c r="F9" i="6"/>
  <c r="F8" i="6"/>
  <c r="F6" i="6"/>
  <c r="F5" i="6"/>
  <c r="F4" i="6"/>
  <c r="G4" i="6" s="1"/>
  <c r="M10" i="9"/>
  <c r="D10" i="2" s="1"/>
  <c r="M8" i="9"/>
  <c r="M6" i="9"/>
  <c r="M4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C4" i="6"/>
  <c r="C3" i="6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C28" i="6" s="1"/>
  <c r="B4" i="6"/>
  <c r="N13" i="8"/>
  <c r="N11" i="8"/>
  <c r="N9" i="8"/>
  <c r="N7" i="8"/>
  <c r="N5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D314" i="8"/>
  <c r="I3" i="8"/>
  <c r="H5" i="8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4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B5" i="5"/>
  <c r="B4" i="5"/>
  <c r="H12" i="5"/>
  <c r="H10" i="5"/>
  <c r="H8" i="5"/>
  <c r="H6" i="5"/>
  <c r="H4" i="5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G7" i="6" l="1"/>
  <c r="G5" i="6"/>
  <c r="G13" i="6"/>
  <c r="G6" i="6"/>
  <c r="G15" i="6"/>
  <c r="G17" i="6"/>
  <c r="G18" i="6"/>
  <c r="G19" i="6"/>
  <c r="G20" i="6"/>
  <c r="G26" i="6"/>
  <c r="D13" i="2"/>
  <c r="C26" i="6"/>
  <c r="C15" i="6"/>
  <c r="C18" i="6"/>
  <c r="C19" i="6"/>
  <c r="C20" i="6"/>
  <c r="C21" i="6"/>
  <c r="G21" i="6" s="1"/>
  <c r="C14" i="6"/>
  <c r="G14" i="6" s="1"/>
  <c r="C22" i="6"/>
  <c r="G22" i="6" s="1"/>
  <c r="C27" i="6"/>
  <c r="G27" i="6" s="1"/>
  <c r="K13" i="6" s="1"/>
  <c r="C23" i="6"/>
  <c r="G23" i="6" s="1"/>
  <c r="C24" i="6"/>
  <c r="G24" i="6" s="1"/>
  <c r="C16" i="6"/>
  <c r="G16" i="6" s="1"/>
  <c r="C5" i="6"/>
  <c r="C17" i="6"/>
  <c r="C6" i="6"/>
  <c r="C7" i="6"/>
  <c r="C8" i="6"/>
  <c r="G8" i="6" s="1"/>
  <c r="C9" i="6"/>
  <c r="G9" i="6" s="1"/>
  <c r="K3" i="6" s="1"/>
  <c r="D9" i="2" s="1"/>
  <c r="C10" i="6"/>
  <c r="G10" i="6" s="1"/>
  <c r="C11" i="6"/>
  <c r="G11" i="6" s="1"/>
  <c r="C12" i="6"/>
  <c r="G12" i="6" s="1"/>
  <c r="C13" i="6"/>
  <c r="C25" i="6"/>
  <c r="G25" i="6" s="1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F5" i="4"/>
  <c r="F4" i="4"/>
  <c r="C20" i="2" l="1"/>
  <c r="C19" i="2"/>
  <c r="D28" i="2"/>
  <c r="D29" i="2" s="1"/>
  <c r="K11" i="6"/>
  <c r="K7" i="6"/>
  <c r="K9" i="6"/>
  <c r="K5" i="6"/>
  <c r="D27" i="2"/>
  <c r="D26" i="2"/>
  <c r="D25" i="2"/>
  <c r="D24" i="2"/>
  <c r="D23" i="2"/>
  <c r="D22" i="2"/>
  <c r="D21" i="2"/>
  <c r="D20" i="2"/>
  <c r="D19" i="2"/>
  <c r="C21" i="2"/>
  <c r="C22" i="2"/>
  <c r="C23" i="2"/>
  <c r="C24" i="2"/>
  <c r="C25" i="2"/>
  <c r="C26" i="2"/>
  <c r="C27" i="2"/>
  <c r="C28" i="2"/>
  <c r="C29" i="2" s="1"/>
  <c r="F6" i="4"/>
  <c r="E19" i="2" l="1"/>
  <c r="E25" i="2"/>
  <c r="E21" i="2"/>
  <c r="E20" i="2"/>
  <c r="E23" i="2"/>
  <c r="E27" i="2"/>
  <c r="E26" i="2"/>
  <c r="E24" i="2"/>
  <c r="E22" i="2"/>
  <c r="E29" i="2"/>
  <c r="E28" i="2"/>
  <c r="F7" i="4"/>
  <c r="E2" i="2" l="1"/>
  <c r="E4" i="2" s="1"/>
  <c r="E7" i="2" s="1"/>
  <c r="F8" i="4"/>
  <c r="F9" i="4" l="1"/>
  <c r="F10" i="4" l="1"/>
  <c r="F11" i="4" l="1"/>
  <c r="F12" i="4" l="1"/>
  <c r="F13" i="4" l="1"/>
  <c r="F14" i="4" l="1"/>
  <c r="F15" i="4" l="1"/>
  <c r="F16" i="4" l="1"/>
  <c r="F17" i="4" l="1"/>
  <c r="F18" i="4" l="1"/>
  <c r="F19" i="4" l="1"/>
  <c r="F20" i="4" l="1"/>
  <c r="F21" i="4" l="1"/>
  <c r="F22" i="4" l="1"/>
  <c r="F23" i="4" l="1"/>
  <c r="F24" i="4" l="1"/>
  <c r="F25" i="4" l="1"/>
  <c r="F26" i="4" l="1"/>
  <c r="F27" i="4" l="1"/>
  <c r="F28" i="4" l="1"/>
  <c r="F29" i="4" l="1"/>
  <c r="F30" i="4" l="1"/>
  <c r="F31" i="4" l="1"/>
  <c r="F32" i="4" l="1"/>
  <c r="F33" i="4" l="1"/>
  <c r="F34" i="4" l="1"/>
  <c r="F35" i="4" l="1"/>
  <c r="F36" i="4" l="1"/>
  <c r="F37" i="4" l="1"/>
  <c r="F38" i="4" l="1"/>
  <c r="F39" i="4" l="1"/>
  <c r="F40" i="4" l="1"/>
  <c r="F41" i="4" l="1"/>
  <c r="F42" i="4" l="1"/>
  <c r="F43" i="4" l="1"/>
  <c r="F44" i="4" l="1"/>
  <c r="F45" i="4" l="1"/>
  <c r="F46" i="4" l="1"/>
  <c r="F47" i="4" l="1"/>
  <c r="F48" i="4" l="1"/>
  <c r="F49" i="4" l="1"/>
  <c r="F50" i="4" l="1"/>
  <c r="F51" i="4" l="1"/>
  <c r="F52" i="4" l="1"/>
  <c r="F53" i="4" l="1"/>
  <c r="F54" i="4" l="1"/>
  <c r="F55" i="4" l="1"/>
  <c r="F56" i="4" l="1"/>
  <c r="K4" i="4"/>
  <c r="K8" i="4"/>
  <c r="K10" i="4"/>
  <c r="K12" i="4"/>
  <c r="F57" i="4" l="1"/>
  <c r="F58" i="4" l="1"/>
  <c r="K16" i="4" s="1"/>
  <c r="K14" i="4"/>
</calcChain>
</file>

<file path=xl/sharedStrings.xml><?xml version="1.0" encoding="utf-8"?>
<sst xmlns="http://schemas.openxmlformats.org/spreadsheetml/2006/main" count="165" uniqueCount="72">
  <si>
    <t>CF</t>
  </si>
  <si>
    <t>Dividend &amp; Buyback Data</t>
  </si>
  <si>
    <t>Growth</t>
  </si>
  <si>
    <t>Rf</t>
  </si>
  <si>
    <t>ERP</t>
  </si>
  <si>
    <t>Index Returns</t>
  </si>
  <si>
    <t xml:space="preserve">Market Premia </t>
  </si>
  <si>
    <t>10Y Bond Data - Default Spread</t>
  </si>
  <si>
    <t>Date</t>
  </si>
  <si>
    <t>Price</t>
  </si>
  <si>
    <t>Year</t>
  </si>
  <si>
    <t>10Y Bond Average Rate</t>
  </si>
  <si>
    <t>Average Rate-</t>
  </si>
  <si>
    <t>20 Years</t>
  </si>
  <si>
    <t>15 Years</t>
  </si>
  <si>
    <t>7 Years</t>
  </si>
  <si>
    <t>5 Years</t>
  </si>
  <si>
    <t>Latest</t>
  </si>
  <si>
    <t>Source: Investing.com</t>
  </si>
  <si>
    <t>Average ERP -</t>
  </si>
  <si>
    <t>3 Years</t>
  </si>
  <si>
    <t>Beginning Year ERP</t>
  </si>
  <si>
    <t>Source : Damodaran</t>
  </si>
  <si>
    <t>Close</t>
  </si>
  <si>
    <t>Monthly Returns</t>
  </si>
  <si>
    <t>Average Range</t>
  </si>
  <si>
    <t>Average Return</t>
  </si>
  <si>
    <t>CAGR S&amp;P500 Return-</t>
  </si>
  <si>
    <t>10 Years</t>
  </si>
  <si>
    <t>7 years</t>
  </si>
  <si>
    <t>S&amp;P 500 Range</t>
  </si>
  <si>
    <t>Source : Market Premia</t>
  </si>
  <si>
    <t>S&amp;P 500 Average Range</t>
  </si>
  <si>
    <t>P/E Ratio</t>
  </si>
  <si>
    <t>S&amp;P 500 EPS</t>
  </si>
  <si>
    <t>EPS CAGR 3 Years</t>
  </si>
  <si>
    <t>EPS CAGR 5 Years</t>
  </si>
  <si>
    <t>EPS CAGR 7 Years</t>
  </si>
  <si>
    <t>EPS CAGR 10 Years</t>
  </si>
  <si>
    <t>-</t>
  </si>
  <si>
    <t>Average EPS CAGR -</t>
  </si>
  <si>
    <t>Dividend</t>
  </si>
  <si>
    <t>Buybacks</t>
  </si>
  <si>
    <t>Total Earnings</t>
  </si>
  <si>
    <t>S&amp;P 500 Earnings Yield</t>
  </si>
  <si>
    <t>Average S&amp;P 500 Earning Yield-</t>
  </si>
  <si>
    <t>10 Yrs</t>
  </si>
  <si>
    <t>7 Yrs</t>
  </si>
  <si>
    <t>5 Yrs</t>
  </si>
  <si>
    <t>3 Yrs</t>
  </si>
  <si>
    <t>20 Yrs</t>
  </si>
  <si>
    <t>15 Yrs</t>
  </si>
  <si>
    <t>Valuation of S&amp;P 500</t>
  </si>
  <si>
    <t>Particulars</t>
  </si>
  <si>
    <t>Key Inputs</t>
  </si>
  <si>
    <t>Assumptions</t>
  </si>
  <si>
    <t>Current S&amp;P 500 Level</t>
  </si>
  <si>
    <t>Total Yield</t>
  </si>
  <si>
    <t>Expected Growth</t>
  </si>
  <si>
    <t>Risk- Free Rate</t>
  </si>
  <si>
    <t>Equity Risk Premium</t>
  </si>
  <si>
    <t>Cost of Equity</t>
  </si>
  <si>
    <t>Yield</t>
  </si>
  <si>
    <t>EPS Growth</t>
  </si>
  <si>
    <t>50 Yrs</t>
  </si>
  <si>
    <t>30 Yrs</t>
  </si>
  <si>
    <t>Cummulative PV Factor (Cost of Equity)</t>
  </si>
  <si>
    <t>Present Value of Expected Div &amp; Buybacks</t>
  </si>
  <si>
    <t>2034-Ꝏ</t>
  </si>
  <si>
    <t>Teminal Growth</t>
  </si>
  <si>
    <t>Expected Dividend &amp;      Buy Backs</t>
  </si>
  <si>
    <t>Source : Macrotrends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</si>
</sst>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#,##0.0"/>
    <numFmt numFmtId="166" formatCode="\$#,##0.0"/>
    <numFmt numFmtId="167" formatCode="\$\ #,##0.0"/>
    <numFmt numFmtId="168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0066F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15" fontId="0" fillId="0" borderId="0" xfId="0" applyNumberFormat="1"/>
    <xf numFmtId="10" fontId="0" fillId="0" borderId="0" xfId="1" applyNumberFormat="1" applyFont="1"/>
    <xf numFmtId="0" fontId="2" fillId="2" borderId="0" xfId="0" applyFont="1" applyFill="1"/>
    <xf numFmtId="0" fontId="3" fillId="0" borderId="0" xfId="0" applyFont="1"/>
    <xf numFmtId="10" fontId="0" fillId="3" borderId="0" xfId="0" applyNumberFormat="1" applyFill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9" fontId="2" fillId="2" borderId="0" xfId="1" applyFont="1" applyFill="1"/>
    <xf numFmtId="0" fontId="5" fillId="0" borderId="0" xfId="0" applyFont="1"/>
    <xf numFmtId="165" fontId="0" fillId="0" borderId="0" xfId="0" applyNumberFormat="1"/>
    <xf numFmtId="10" fontId="0" fillId="3" borderId="0" xfId="1" applyNumberFormat="1" applyFont="1" applyFill="1"/>
    <xf numFmtId="166" fontId="0" fillId="0" borderId="0" xfId="0" applyNumberFormat="1"/>
    <xf numFmtId="0" fontId="0" fillId="0" borderId="0" xfId="0" applyAlignment="1">
      <alignment horizontal="right"/>
    </xf>
    <xf numFmtId="10" fontId="0" fillId="4" borderId="0" xfId="0" applyNumberFormat="1" applyFill="1"/>
    <xf numFmtId="9" fontId="0" fillId="0" borderId="0" xfId="0" applyNumberFormat="1"/>
    <xf numFmtId="165" fontId="8" fillId="0" borderId="2" xfId="0" applyNumberFormat="1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0" fillId="0" borderId="4" xfId="0" applyBorder="1"/>
    <xf numFmtId="165" fontId="0" fillId="0" borderId="4" xfId="0" applyNumberFormat="1" applyBorder="1"/>
    <xf numFmtId="167" fontId="0" fillId="0" borderId="4" xfId="0" applyNumberFormat="1" applyBorder="1"/>
    <xf numFmtId="10" fontId="0" fillId="0" borderId="4" xfId="1" applyNumberFormat="1" applyFont="1" applyBorder="1"/>
    <xf numFmtId="0" fontId="11" fillId="2" borderId="0" xfId="0" applyFont="1" applyFill="1" applyAlignment="1" applyProtection="1">
      <alignment horizontal="center" vertical="center"/>
    </xf>
    <xf numFmtId="165" fontId="9" fillId="0" borderId="1" xfId="0" applyNumberFormat="1" applyFont="1" applyBorder="1" applyAlignment="1" applyProtection="1">
      <alignment horizontal="center" vertical="center"/>
    </xf>
    <xf numFmtId="0" fontId="0" fillId="0" borderId="0" xfId="0" applyProtection="1"/>
    <xf numFmtId="0" fontId="7" fillId="0" borderId="0" xfId="0" applyFont="1" applyProtection="1"/>
    <xf numFmtId="0" fontId="9" fillId="0" borderId="1" xfId="0" applyFont="1" applyBorder="1" applyAlignment="1" applyProtection="1">
      <alignment horizontal="center" vertical="center"/>
    </xf>
    <xf numFmtId="0" fontId="2" fillId="2" borderId="0" xfId="0" applyFont="1" applyFill="1" applyProtection="1"/>
    <xf numFmtId="0" fontId="2" fillId="2" borderId="0" xfId="0" applyFont="1" applyFill="1" applyAlignment="1" applyProtection="1">
      <alignment horizontal="center"/>
    </xf>
    <xf numFmtId="0" fontId="2" fillId="5" borderId="2" xfId="0" applyFont="1" applyFill="1" applyBorder="1" applyProtection="1"/>
    <xf numFmtId="0" fontId="0" fillId="0" borderId="2" xfId="0" applyBorder="1" applyProtection="1"/>
    <xf numFmtId="0" fontId="6" fillId="0" borderId="2" xfId="0" applyFont="1" applyBorder="1" applyProtection="1"/>
    <xf numFmtId="15" fontId="0" fillId="0" borderId="2" xfId="0" applyNumberForma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 vertical="center" wrapText="1"/>
    </xf>
    <xf numFmtId="165" fontId="0" fillId="0" borderId="2" xfId="0" applyNumberFormat="1" applyBorder="1" applyAlignment="1" applyProtection="1">
      <alignment horizontal="center"/>
    </xf>
    <xf numFmtId="10" fontId="0" fillId="0" borderId="2" xfId="1" applyNumberFormat="1" applyFont="1" applyBorder="1" applyAlignment="1" applyProtection="1">
      <alignment horizontal="center"/>
    </xf>
    <xf numFmtId="9" fontId="0" fillId="0" borderId="2" xfId="1" applyFont="1" applyBorder="1" applyAlignment="1" applyProtection="1">
      <alignment horizontal="center"/>
    </xf>
    <xf numFmtId="0" fontId="6" fillId="0" borderId="3" xfId="0" applyFont="1" applyBorder="1" applyProtection="1"/>
    <xf numFmtId="9" fontId="0" fillId="0" borderId="3" xfId="1" applyFont="1" applyBorder="1" applyAlignment="1" applyProtection="1">
      <alignment horizontal="center"/>
    </xf>
    <xf numFmtId="10" fontId="0" fillId="0" borderId="3" xfId="1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/>
    </xf>
    <xf numFmtId="167" fontId="0" fillId="0" borderId="2" xfId="0" applyNumberFormat="1" applyBorder="1" applyAlignment="1" applyProtection="1">
      <alignment horizontal="center"/>
    </xf>
    <xf numFmtId="168" fontId="0" fillId="0" borderId="2" xfId="0" applyNumberFormat="1" applyBorder="1" applyAlignment="1" applyProtection="1">
      <alignment horizontal="center"/>
    </xf>
    <xf numFmtId="0" fontId="6" fillId="0" borderId="3" xfId="0" applyFont="1" applyBorder="1" applyAlignment="1" applyProtection="1">
      <alignment horizontal="center"/>
    </xf>
    <xf numFmtId="167" fontId="0" fillId="0" borderId="3" xfId="0" applyNumberFormat="1" applyBorder="1" applyAlignment="1" applyProtection="1">
      <alignment horizontal="center"/>
    </xf>
    <xf numFmtId="168" fontId="0" fillId="0" borderId="3" xfId="0" applyNumberFormat="1" applyBorder="1" applyAlignment="1" applyProtection="1">
      <alignment horizontal="center"/>
    </xf>
  </cellXfs>
  <cellStyles count="5">
    <cellStyle name="Currency 2" xfId="3" xr:uid="{9820E20C-BFCB-436F-B9E1-5237C7FFFA31}"/>
    <cellStyle name="Normal" xfId="0" builtinId="0"/>
    <cellStyle name="Normal 2" xfId="2" xr:uid="{A0969299-9C10-4A0F-8261-40BC681D4FDD}"/>
    <cellStyle name="Percent" xfId="1" builtinId="5"/>
    <cellStyle name="Percent 2" xfId="4" xr:uid="{B84DCB40-33F8-49ED-BB18-28ED37795852}"/>
  </cellStyles>
  <dxfs count="3"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b/>
        <i val="0"/>
        <color theme="8" tint="-0.24994659260841701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Historical Dividend</a:t>
            </a:r>
            <a:r>
              <a:rPr lang="en-IN" b="1" baseline="0">
                <a:solidFill>
                  <a:schemeClr val="tx1"/>
                </a:solidFill>
              </a:rPr>
              <a:t>s &amp; BuyBacks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'Exp. Div&amp;BB'!$D$2</c:f>
              <c:strCache>
                <c:ptCount val="1"/>
                <c:pt idx="0">
                  <c:v>Dividend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'Exp. Div&amp;BB'!$B$3:$B$28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'Exp. Div&amp;BB'!$D$3:$D$28</c:f>
              <c:numCache>
                <c:formatCode>\$\ #,##0.0</c:formatCode>
                <c:ptCount val="26"/>
                <c:pt idx="0">
                  <c:v>16.27</c:v>
                </c:pt>
                <c:pt idx="1">
                  <c:v>15.74</c:v>
                </c:pt>
                <c:pt idx="2">
                  <c:v>16.079999999999998</c:v>
                </c:pt>
                <c:pt idx="3">
                  <c:v>17.88</c:v>
                </c:pt>
                <c:pt idx="4">
                  <c:v>19.407</c:v>
                </c:pt>
                <c:pt idx="5">
                  <c:v>22.38</c:v>
                </c:pt>
                <c:pt idx="6">
                  <c:v>25.05</c:v>
                </c:pt>
                <c:pt idx="7">
                  <c:v>27.73</c:v>
                </c:pt>
                <c:pt idx="8">
                  <c:v>28.05</c:v>
                </c:pt>
                <c:pt idx="9">
                  <c:v>22.31</c:v>
                </c:pt>
                <c:pt idx="10">
                  <c:v>23.12</c:v>
                </c:pt>
                <c:pt idx="11">
                  <c:v>26.02</c:v>
                </c:pt>
                <c:pt idx="12">
                  <c:v>30.44</c:v>
                </c:pt>
                <c:pt idx="13">
                  <c:v>36.28</c:v>
                </c:pt>
                <c:pt idx="14">
                  <c:v>39.44</c:v>
                </c:pt>
                <c:pt idx="15">
                  <c:v>43.16</c:v>
                </c:pt>
                <c:pt idx="16">
                  <c:v>45.03</c:v>
                </c:pt>
                <c:pt idx="17">
                  <c:v>49.73</c:v>
                </c:pt>
                <c:pt idx="18">
                  <c:v>53.61</c:v>
                </c:pt>
                <c:pt idx="19">
                  <c:v>58.8</c:v>
                </c:pt>
                <c:pt idx="20">
                  <c:v>56.7</c:v>
                </c:pt>
                <c:pt idx="21">
                  <c:v>59.2</c:v>
                </c:pt>
                <c:pt idx="22">
                  <c:v>68.34</c:v>
                </c:pt>
                <c:pt idx="23">
                  <c:v>70.069999999999993</c:v>
                </c:pt>
                <c:pt idx="24">
                  <c:v>73.400000000000006</c:v>
                </c:pt>
                <c:pt idx="25">
                  <c:v>69.626320000000007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E3-4253-BA3A-26469D41EF43}"/>
            </c:ext>
          </c:extLst>
        </c:ser>
        <c:ser>
          <c:idx val="1"/>
          <c:order val="1"/>
          <c:tx>
            <c:strRef>
              <c:f>'Exp. Div&amp;BB'!$E$2</c:f>
              <c:strCache>
                <c:ptCount val="1"/>
                <c:pt idx="0">
                  <c:v>Buybacks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numRef>
              <c:f>'Exp. Div&amp;BB'!$B$3:$B$28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'Exp. Div&amp;BB'!$E$3:$E$28</c:f>
              <c:numCache>
                <c:formatCode>\$\ #,##0.0</c:formatCode>
                <c:ptCount val="26"/>
                <c:pt idx="0">
                  <c:v>14.8</c:v>
                </c:pt>
                <c:pt idx="1">
                  <c:v>14.339999999999998</c:v>
                </c:pt>
                <c:pt idx="2">
                  <c:v>13.75</c:v>
                </c:pt>
                <c:pt idx="3">
                  <c:v>13.7</c:v>
                </c:pt>
                <c:pt idx="4">
                  <c:v>21.193000000000001</c:v>
                </c:pt>
                <c:pt idx="5">
                  <c:v>38.790000000000006</c:v>
                </c:pt>
                <c:pt idx="6">
                  <c:v>48.11</c:v>
                </c:pt>
                <c:pt idx="7">
                  <c:v>67.63</c:v>
                </c:pt>
                <c:pt idx="8">
                  <c:v>39.47</c:v>
                </c:pt>
                <c:pt idx="9">
                  <c:v>15.120000000000001</c:v>
                </c:pt>
                <c:pt idx="10">
                  <c:v>32.409999999999997</c:v>
                </c:pt>
                <c:pt idx="11">
                  <c:v>45.260000000000005</c:v>
                </c:pt>
                <c:pt idx="12">
                  <c:v>45.460000000000008</c:v>
                </c:pt>
                <c:pt idx="13">
                  <c:v>51.849999999999994</c:v>
                </c:pt>
                <c:pt idx="14">
                  <c:v>62.540000000000006</c:v>
                </c:pt>
                <c:pt idx="15">
                  <c:v>62.94</c:v>
                </c:pt>
                <c:pt idx="16">
                  <c:v>63.64</c:v>
                </c:pt>
                <c:pt idx="17">
                  <c:v>58.550000000000004</c:v>
                </c:pt>
                <c:pt idx="18">
                  <c:v>83.04</c:v>
                </c:pt>
                <c:pt idx="19">
                  <c:v>91.7</c:v>
                </c:pt>
                <c:pt idx="20">
                  <c:v>71.08</c:v>
                </c:pt>
                <c:pt idx="21">
                  <c:v>88.04</c:v>
                </c:pt>
                <c:pt idx="22">
                  <c:v>113.65</c:v>
                </c:pt>
                <c:pt idx="23">
                  <c:v>94.72</c:v>
                </c:pt>
                <c:pt idx="24">
                  <c:v>109.4</c:v>
                </c:pt>
                <c:pt idx="25">
                  <c:v>98.2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5E3-4253-BA3A-26469D41E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1204895"/>
        <c:axId val="1441194335"/>
      </c:lineChart>
      <c:catAx>
        <c:axId val="144120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194335"/>
        <c:crosses val="autoZero"/>
        <c:auto val="1"/>
        <c:lblAlgn val="ctr"/>
        <c:lblOffset val="100"/>
        <c:noMultiLvlLbl val="0"/>
      </c:catAx>
      <c:valAx>
        <c:axId val="144119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0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S&amp;P 500 Average 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'S&amp;P 500 EPS Growth'!$E$2</c:f>
              <c:strCache>
                <c:ptCount val="1"/>
                <c:pt idx="0">
                  <c:v>S&amp;P 500 EPS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numRef>
              <c:f>'S&amp;P 500 EPS Growth'!$B$3:$B$28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'S&amp;P 500 EPS Growth'!$E$3:$E$28</c:f>
              <c:numCache>
                <c:formatCode>\$#,##0.0</c:formatCode>
                <c:ptCount val="26"/>
                <c:pt idx="0">
                  <c:v>51.641830586011473</c:v>
                </c:pt>
                <c:pt idx="1">
                  <c:v>32.380539725726884</c:v>
                </c:pt>
                <c:pt idx="2">
                  <c:v>26.953583851933647</c:v>
                </c:pt>
                <c:pt idx="3">
                  <c:v>37.435773142779425</c:v>
                </c:pt>
                <c:pt idx="4">
                  <c:v>56.008087120947081</c:v>
                </c:pt>
                <c:pt idx="5">
                  <c:v>64.909321679405295</c:v>
                </c:pt>
                <c:pt idx="6">
                  <c:v>76.761569721598832</c:v>
                </c:pt>
                <c:pt idx="7">
                  <c:v>77.401212781332788</c:v>
                </c:pt>
                <c:pt idx="8">
                  <c:v>35.323045291911804</c:v>
                </c:pt>
                <c:pt idx="9">
                  <c:v>11.236013841909834</c:v>
                </c:pt>
                <c:pt idx="10">
                  <c:v>68.923004712006772</c:v>
                </c:pt>
                <c:pt idx="11">
                  <c:v>84.636883045363774</c:v>
                </c:pt>
                <c:pt idx="12">
                  <c:v>87.34275029239889</c:v>
                </c:pt>
                <c:pt idx="13">
                  <c:v>93.355349705302686</c:v>
                </c:pt>
                <c:pt idx="14">
                  <c:v>103.05613169713054</c:v>
                </c:pt>
                <c:pt idx="15">
                  <c:v>92.607504234878533</c:v>
                </c:pt>
                <c:pt idx="16">
                  <c:v>89.234299387258716</c:v>
                </c:pt>
                <c:pt idx="17">
                  <c:v>105.35121523344725</c:v>
                </c:pt>
                <c:pt idx="18">
                  <c:v>124.84352175308825</c:v>
                </c:pt>
                <c:pt idx="19">
                  <c:v>135.55599986158157</c:v>
                </c:pt>
                <c:pt idx="20">
                  <c:v>102.08885273491691</c:v>
                </c:pt>
                <c:pt idx="21">
                  <c:v>162.77579021952258</c:v>
                </c:pt>
                <c:pt idx="22">
                  <c:v>187.38950643334698</c:v>
                </c:pt>
                <c:pt idx="23">
                  <c:v>183.25862993004492</c:v>
                </c:pt>
                <c:pt idx="24">
                  <c:v>199.5861310179983</c:v>
                </c:pt>
                <c:pt idx="25">
                  <c:v>224.85350771601119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A6-4B26-B76D-4D63F2FD3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740943"/>
        <c:axId val="1303741903"/>
      </c:lineChart>
      <c:catAx>
        <c:axId val="130374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741903"/>
        <c:crosses val="autoZero"/>
        <c:auto val="1"/>
        <c:lblAlgn val="ctr"/>
        <c:lblOffset val="100"/>
        <c:noMultiLvlLbl val="0"/>
      </c:catAx>
      <c:valAx>
        <c:axId val="13037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74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S&amp;P 500 Historical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'S&amp;P 500 Historical'!$I$2</c:f>
              <c:strCache>
                <c:ptCount val="1"/>
                <c:pt idx="0">
                  <c:v>Average Range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numRef>
              <c:f>'S&amp;P 500 Historical'!$H$3:$H$28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'S&amp;P 500 Historical'!$I$3:$I$28</c:f>
              <c:numCache>
                <c:formatCode>#,##0.0</c:formatCode>
                <c:ptCount val="26"/>
                <c:pt idx="0">
                  <c:v>1419.7333333333333</c:v>
                </c:pt>
                <c:pt idx="1">
                  <c:v>1185.75</c:v>
                </c:pt>
                <c:pt idx="2">
                  <c:v>988.58333333333314</c:v>
                </c:pt>
                <c:pt idx="3">
                  <c:v>967.92500000000007</c:v>
                </c:pt>
                <c:pt idx="4">
                  <c:v>1133.95</c:v>
                </c:pt>
                <c:pt idx="5">
                  <c:v>1207.7666666666664</c:v>
                </c:pt>
                <c:pt idx="6">
                  <c:v>1318.3</c:v>
                </c:pt>
                <c:pt idx="7">
                  <c:v>1478.0999999999997</c:v>
                </c:pt>
                <c:pt idx="8">
                  <c:v>1215.2166666666665</c:v>
                </c:pt>
                <c:pt idx="9">
                  <c:v>948.51666666666688</c:v>
                </c:pt>
                <c:pt idx="10">
                  <c:v>1130.675</c:v>
                </c:pt>
                <c:pt idx="11">
                  <c:v>1280.7499999999998</c:v>
                </c:pt>
                <c:pt idx="12">
                  <c:v>1386.5166666666667</c:v>
                </c:pt>
                <c:pt idx="13">
                  <c:v>1652.291666666667</c:v>
                </c:pt>
                <c:pt idx="14">
                  <c:v>1944.4150000000002</c:v>
                </c:pt>
                <c:pt idx="15">
                  <c:v>2051.9291666666663</c:v>
                </c:pt>
                <c:pt idx="16">
                  <c:v>2105.8283333333334</c:v>
                </c:pt>
                <c:pt idx="17">
                  <c:v>2465.2000000000003</c:v>
                </c:pt>
                <c:pt idx="18">
                  <c:v>2738.3958333333335</c:v>
                </c:pt>
                <c:pt idx="19">
                  <c:v>2937.9616666666666</c:v>
                </c:pt>
                <c:pt idx="20">
                  <c:v>3216.9541666666664</c:v>
                </c:pt>
                <c:pt idx="21">
                  <c:v>4278.7583333333332</c:v>
                </c:pt>
                <c:pt idx="22">
                  <c:v>4077.6550000000011</c:v>
                </c:pt>
                <c:pt idx="23">
                  <c:v>4322.6541666666681</c:v>
                </c:pt>
                <c:pt idx="24">
                  <c:v>5460.2158333333327</c:v>
                </c:pt>
                <c:pt idx="25">
                  <c:v>6276.2991666666667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EE-4981-A823-75F883707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157695"/>
        <c:axId val="1317158175"/>
      </c:lineChart>
      <c:catAx>
        <c:axId val="131715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58175"/>
        <c:crosses val="autoZero"/>
        <c:auto val="1"/>
        <c:lblAlgn val="ctr"/>
        <c:lblOffset val="100"/>
        <c:noMultiLvlLbl val="0"/>
      </c:catAx>
      <c:valAx>
        <c:axId val="131715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5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Implied</a:t>
            </a:r>
            <a:r>
              <a:rPr lang="en-US" b="1" baseline="0">
                <a:solidFill>
                  <a:schemeClr val="tx1"/>
                </a:solidFill>
              </a:rPr>
              <a:t> ERP</a:t>
            </a:r>
          </a:p>
        </c:rich>
      </c:tx>
      <c:layout>
        <c:manualLayout>
          <c:xMode val="edge"/>
          <c:yMode val="edge"/>
          <c:x val="0.4000333358651712"/>
          <c:y val="4.0192926045016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'ERP Historical'!$C$2</c:f>
              <c:strCache>
                <c:ptCount val="1"/>
                <c:pt idx="0">
                  <c:v>Beginning Year ERP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numRef>
              <c:f>'ERP Historical'!$B$3:$B$25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'ERP Historical'!$C$3:$C$25</c:f>
              <c:numCache>
                <c:formatCode>0.00%</c:formatCode>
                <c:ptCount val="23"/>
                <c:pt idx="0">
                  <c:v>4.8800000000000003E-2</c:v>
                </c:pt>
                <c:pt idx="1">
                  <c:v>5.1400000000000001E-2</c:v>
                </c:pt>
                <c:pt idx="2">
                  <c:v>3.4599999999999999E-2</c:v>
                </c:pt>
                <c:pt idx="3">
                  <c:v>3.5299999999999998E-2</c:v>
                </c:pt>
                <c:pt idx="4">
                  <c:v>3.4000000000000002E-2</c:v>
                </c:pt>
                <c:pt idx="5">
                  <c:v>4.5999999999999999E-2</c:v>
                </c:pt>
                <c:pt idx="6">
                  <c:v>7.1900000000000006E-2</c:v>
                </c:pt>
                <c:pt idx="7">
                  <c:v>4.2700000000000002E-2</c:v>
                </c:pt>
                <c:pt idx="8">
                  <c:v>4.7300000000000002E-2</c:v>
                </c:pt>
                <c:pt idx="9">
                  <c:v>6.0499999999999998E-2</c:v>
                </c:pt>
                <c:pt idx="10">
                  <c:v>5.4600000000000003E-2</c:v>
                </c:pt>
                <c:pt idx="11">
                  <c:v>4.3499999999999997E-2</c:v>
                </c:pt>
                <c:pt idx="12">
                  <c:v>4.6800000000000001E-2</c:v>
                </c:pt>
                <c:pt idx="13">
                  <c:v>4.9299999999999997E-2</c:v>
                </c:pt>
                <c:pt idx="14">
                  <c:v>3.73E-2</c:v>
                </c:pt>
                <c:pt idx="15">
                  <c:v>3.2599999999999997E-2</c:v>
                </c:pt>
                <c:pt idx="16">
                  <c:v>4.4900000000000002E-2</c:v>
                </c:pt>
                <c:pt idx="17">
                  <c:v>4.1399999999999999E-2</c:v>
                </c:pt>
                <c:pt idx="18">
                  <c:v>3.5700000000000003E-2</c:v>
                </c:pt>
                <c:pt idx="19">
                  <c:v>3.3799999999999997E-2</c:v>
                </c:pt>
                <c:pt idx="20">
                  <c:v>3.2399999999999998E-2</c:v>
                </c:pt>
                <c:pt idx="21">
                  <c:v>2.76E-2</c:v>
                </c:pt>
                <c:pt idx="22">
                  <c:v>1.9800000000000002E-2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2A-44E3-98B3-EE9A54FB6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464719"/>
        <c:axId val="1599465199"/>
      </c:lineChart>
      <c:catAx>
        <c:axId val="159946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465199"/>
        <c:crosses val="autoZero"/>
        <c:auto val="1"/>
        <c:lblAlgn val="ctr"/>
        <c:lblOffset val="100"/>
        <c:noMultiLvlLbl val="0"/>
      </c:catAx>
      <c:valAx>
        <c:axId val="15994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46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US 10Y Bond Average Rate</a:t>
            </a:r>
          </a:p>
        </c:rich>
      </c:tx>
      <c:layout>
        <c:manualLayout>
          <c:xMode val="edge"/>
          <c:yMode val="edge"/>
          <c:x val="0.30572563919020612"/>
          <c:y val="3.00779346054936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'Rf Historical'!$G$2</c:f>
              <c:strCache>
                <c:ptCount val="1"/>
                <c:pt idx="0">
                  <c:v>10Y Bond Average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numRef>
              <c:f>'Rf Historical'!$F$3:$F$58</c:f>
              <c:numCache>
                <c:formatCode>General</c:formatCode>
                <c:ptCount val="56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  <c:pt idx="55">
                  <c:v>2025</c:v>
                </c:pt>
              </c:numCache>
            </c:numRef>
          </c:cat>
          <c:val>
            <c:numRef>
              <c:f>'Rf Historical'!$G$3:$G$58</c:f>
              <c:numCache>
                <c:formatCode>0.00%</c:formatCode>
                <c:ptCount val="56"/>
                <c:pt idx="0">
                  <c:v>7.3081818181818192E-2</c:v>
                </c:pt>
                <c:pt idx="1">
                  <c:v>6.1591666666666663E-2</c:v>
                </c:pt>
                <c:pt idx="2">
                  <c:v>6.2099999999999995E-2</c:v>
                </c:pt>
                <c:pt idx="3">
                  <c:v>6.8425E-2</c:v>
                </c:pt>
                <c:pt idx="4">
                  <c:v>7.5575000000000003E-2</c:v>
                </c:pt>
                <c:pt idx="5">
                  <c:v>7.9875000000000002E-2</c:v>
                </c:pt>
                <c:pt idx="6">
                  <c:v>7.6116666666666666E-2</c:v>
                </c:pt>
                <c:pt idx="7">
                  <c:v>7.419166666666667E-2</c:v>
                </c:pt>
                <c:pt idx="8">
                  <c:v>8.4100000000000022E-2</c:v>
                </c:pt>
                <c:pt idx="9">
                  <c:v>9.4424999999999995E-2</c:v>
                </c:pt>
                <c:pt idx="10">
                  <c:v>0.11413583333333333</c:v>
                </c:pt>
                <c:pt idx="11">
                  <c:v>0.14012916666666667</c:v>
                </c:pt>
                <c:pt idx="12">
                  <c:v>0.12948250000000003</c:v>
                </c:pt>
                <c:pt idx="13">
                  <c:v>0.11136916666666667</c:v>
                </c:pt>
                <c:pt idx="14">
                  <c:v>0.12481333333333335</c:v>
                </c:pt>
                <c:pt idx="15">
                  <c:v>0.10533583333333334</c:v>
                </c:pt>
                <c:pt idx="16">
                  <c:v>7.5632500000000005E-2</c:v>
                </c:pt>
                <c:pt idx="17">
                  <c:v>8.3972500000000005E-2</c:v>
                </c:pt>
                <c:pt idx="18">
                  <c:v>8.8300833333333328E-2</c:v>
                </c:pt>
                <c:pt idx="19">
                  <c:v>8.4510833333333327E-2</c:v>
                </c:pt>
                <c:pt idx="20">
                  <c:v>8.5555833333333331E-2</c:v>
                </c:pt>
                <c:pt idx="21">
                  <c:v>7.7799166666666669E-2</c:v>
                </c:pt>
                <c:pt idx="22">
                  <c:v>7.0122500000000004E-2</c:v>
                </c:pt>
                <c:pt idx="23">
                  <c:v>5.8290000000000002E-2</c:v>
                </c:pt>
                <c:pt idx="24">
                  <c:v>7.1234999999999993E-2</c:v>
                </c:pt>
                <c:pt idx="25">
                  <c:v>6.4805000000000001E-2</c:v>
                </c:pt>
                <c:pt idx="26">
                  <c:v>6.4599999999999991E-2</c:v>
                </c:pt>
                <c:pt idx="27">
                  <c:v>6.3130000000000006E-2</c:v>
                </c:pt>
                <c:pt idx="28">
                  <c:v>5.2140833333333331E-2</c:v>
                </c:pt>
                <c:pt idx="29">
                  <c:v>5.6967500000000004E-2</c:v>
                </c:pt>
                <c:pt idx="30">
                  <c:v>5.9609166666666678E-2</c:v>
                </c:pt>
                <c:pt idx="31">
                  <c:v>4.9639999999999997E-2</c:v>
                </c:pt>
                <c:pt idx="32">
                  <c:v>4.5318333333333342E-2</c:v>
                </c:pt>
                <c:pt idx="33">
                  <c:v>3.9910833333333333E-2</c:v>
                </c:pt>
                <c:pt idx="34">
                  <c:v>4.2634166666666667E-2</c:v>
                </c:pt>
                <c:pt idx="35">
                  <c:v>4.2649166666666662E-2</c:v>
                </c:pt>
                <c:pt idx="36">
                  <c:v>4.7810833333333337E-2</c:v>
                </c:pt>
                <c:pt idx="37">
                  <c:v>4.5747499999999997E-2</c:v>
                </c:pt>
                <c:pt idx="38">
                  <c:v>3.5862499999999999E-2</c:v>
                </c:pt>
                <c:pt idx="39">
                  <c:v>3.272333333333334E-2</c:v>
                </c:pt>
                <c:pt idx="40">
                  <c:v>3.1260000000000003E-2</c:v>
                </c:pt>
                <c:pt idx="41">
                  <c:v>2.7319166666666672E-2</c:v>
                </c:pt>
                <c:pt idx="42">
                  <c:v>1.7355000000000002E-2</c:v>
                </c:pt>
                <c:pt idx="43">
                  <c:v>2.3605000000000001E-2</c:v>
                </c:pt>
                <c:pt idx="44">
                  <c:v>2.4787500000000004E-2</c:v>
                </c:pt>
                <c:pt idx="45">
                  <c:v>2.0940833333333329E-2</c:v>
                </c:pt>
                <c:pt idx="46">
                  <c:v>1.8233333333333334E-2</c:v>
                </c:pt>
                <c:pt idx="47">
                  <c:v>2.3337500000000001E-2</c:v>
                </c:pt>
                <c:pt idx="48">
                  <c:v>2.8923333333333339E-2</c:v>
                </c:pt>
                <c:pt idx="49">
                  <c:v>2.0796666666666668E-2</c:v>
                </c:pt>
                <c:pt idx="50">
                  <c:v>8.2083333333333331E-3</c:v>
                </c:pt>
                <c:pt idx="51">
                  <c:v>1.45425E-2</c:v>
                </c:pt>
                <c:pt idx="52">
                  <c:v>2.9981666666666667E-2</c:v>
                </c:pt>
                <c:pt idx="53">
                  <c:v>3.9670833333333329E-2</c:v>
                </c:pt>
                <c:pt idx="54">
                  <c:v>4.2260833333333338E-2</c:v>
                </c:pt>
                <c:pt idx="55">
                  <c:v>4.2479090909090904E-2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12-4E40-ADF0-CC69D552F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054239"/>
        <c:axId val="409041759"/>
      </c:lineChart>
      <c:catAx>
        <c:axId val="40905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41759"/>
        <c:crosses val="autoZero"/>
        <c:auto val="1"/>
        <c:lblAlgn val="ctr"/>
        <c:lblOffset val="100"/>
        <c:noMultiLvlLbl val="0"/>
      </c:catAx>
      <c:valAx>
        <c:axId val="4090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14</xdr:row>
      <xdr:rowOff>64770</xdr:rowOff>
    </xdr:from>
    <xdr:to>
      <xdr:col>13</xdr:col>
      <xdr:colOff>1074420</xdr:colOff>
      <xdr:row>32</xdr:row>
      <xdr:rowOff>115062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08CE1D-2BDB-8B78-D992-61590D54F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548640</xdr:colOff>
      <xdr:row>12</xdr:row>
      <xdr:rowOff>26670</xdr:rowOff>
    </xdr:from>
    <xdr:to>
      <xdr:col>16</xdr:col>
      <xdr:colOff>449580</xdr:colOff>
      <xdr:row>27</xdr:row>
      <xdr:rowOff>177546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DECA8D-6D01-BC8C-3667-3508B2745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861060</xdr:colOff>
      <xdr:row>14</xdr:row>
      <xdr:rowOff>34290</xdr:rowOff>
    </xdr:from>
    <xdr:to>
      <xdr:col>18</xdr:col>
      <xdr:colOff>7620</xdr:colOff>
      <xdr:row>30</xdr:row>
      <xdr:rowOff>112014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F9C89A-CD2C-7E7D-A985-3126EB777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13</xdr:row>
      <xdr:rowOff>11430</xdr:rowOff>
    </xdr:from>
    <xdr:to>
      <xdr:col>12</xdr:col>
      <xdr:colOff>167640</xdr:colOff>
      <xdr:row>28</xdr:row>
      <xdr:rowOff>112014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A400D-B7E1-B6F9-2D4B-A15A9C5CD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16</xdr:row>
      <xdr:rowOff>163830</xdr:rowOff>
    </xdr:from>
    <xdr:to>
      <xdr:col>16</xdr:col>
      <xdr:colOff>554990</xdr:colOff>
      <xdr:row>35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F073FF-6725-F9B3-E49C-9DB518935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3:C6"/>
  <sheetViews>
    <sheetView showGridLines="0" workbookViewId="0">
      <selection activeCell="C15" sqref="C15"/>
    </sheetView>
  </sheetViews>
  <sheetFormatPr defaultRowHeight="14.4" x14ac:dyDescent="0.3"/>
  <cols>
    <col min="1" max="1" width="1.88671875" customWidth="1"/>
    <col min="2" max="2" width="7.109375" bestFit="1" customWidth="1"/>
    <col min="3" max="3" width="27" bestFit="1" customWidth="1"/>
  </cols>
  <sheetData>
    <row r="3" spans="2:3" x14ac:dyDescent="0.3">
      <c r="B3" t="s">
        <v>0</v>
      </c>
      <c r="C3" t="s">
        <v>1</v>
      </c>
    </row>
    <row r="4" spans="2:3" x14ac:dyDescent="0.3">
      <c r="B4" t="s">
        <v>2</v>
      </c>
      <c r="C4" t="s">
        <v>5</v>
      </c>
    </row>
    <row r="5" spans="2:3" x14ac:dyDescent="0.3">
      <c r="B5" t="s">
        <v>3</v>
      </c>
      <c r="C5" t="s">
        <v>7</v>
      </c>
    </row>
    <row r="6" spans="2:3" x14ac:dyDescent="0.3">
      <c r="B6" t="s">
        <v>4</v>
      </c>
      <c r="C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06B4-62D6-4C4F-B046-96C741D2A0AF}">
  <dimension ref="B2:P29"/>
  <sheetViews>
    <sheetView showGridLines="0" tabSelected="1" workbookViewId="0">
      <selection activeCell="C9" sqref="C9"/>
    </sheetView>
  </sheetViews>
  <sheetFormatPr defaultRowHeight="14.4" x14ac:dyDescent="0.3"/>
  <cols>
    <col min="1" max="1" width="1.88671875" style="25" customWidth="1"/>
    <col min="2" max="2" width="27.33203125" style="25" customWidth="1"/>
    <col min="3" max="3" width="23.44140625" style="25" customWidth="1"/>
    <col min="4" max="4" width="24.33203125" style="25" customWidth="1"/>
    <col min="5" max="5" width="35.77734375" style="25" customWidth="1"/>
    <col min="6" max="13" width="8.88671875" style="25"/>
    <col min="14" max="14" width="10.44140625" style="25" bestFit="1" customWidth="1"/>
    <col min="15" max="16384" width="8.88671875" style="25"/>
  </cols>
  <sheetData>
    <row r="2" spans="2:16" ht="14.4" customHeight="1" x14ac:dyDescent="0.3">
      <c r="B2" s="23" t="s">
        <v>52</v>
      </c>
      <c r="C2" s="23"/>
      <c r="D2" s="23"/>
      <c r="E2" s="24">
        <f>SUM(E19:E29)</f>
        <v>11301.81894788146</v>
      </c>
      <c r="M2" s="26" t="s">
        <v>62</v>
      </c>
      <c r="N2" s="26" t="s">
        <v>63</v>
      </c>
      <c r="O2" s="26" t="s">
        <v>3</v>
      </c>
      <c r="P2" s="26" t="s">
        <v>4</v>
      </c>
    </row>
    <row r="3" spans="2:16" ht="15.6" customHeight="1" x14ac:dyDescent="0.3">
      <c r="B3" s="23"/>
      <c r="C3" s="23"/>
      <c r="D3" s="23"/>
      <c r="E3" s="24"/>
      <c r="M3" s="26" t="s">
        <v>50</v>
      </c>
      <c r="N3" s="26" t="s">
        <v>20</v>
      </c>
      <c r="O3" s="26" t="s">
        <v>64</v>
      </c>
      <c r="P3" s="26" t="s">
        <v>14</v>
      </c>
    </row>
    <row r="4" spans="2:16" ht="13.2" customHeight="1" x14ac:dyDescent="0.3">
      <c r="B4" s="23"/>
      <c r="C4" s="23"/>
      <c r="D4" s="23"/>
      <c r="E4" s="27" t="str">
        <f>IF(OR(C8="",C9="",C10="",C11="",C12=""),"Enter Key Inputs",IF(E2&gt;1.05*C8,"Undervalued",IF(E2&lt;0.95*C8,"Overvalued","Fairly Valued")))</f>
        <v>Undervalued</v>
      </c>
      <c r="M4" s="26" t="s">
        <v>51</v>
      </c>
      <c r="N4" s="26" t="s">
        <v>16</v>
      </c>
      <c r="O4" s="26" t="s">
        <v>65</v>
      </c>
      <c r="P4" s="26" t="s">
        <v>15</v>
      </c>
    </row>
    <row r="5" spans="2:16" x14ac:dyDescent="0.3">
      <c r="B5" s="28" t="s">
        <v>53</v>
      </c>
      <c r="C5" s="29" t="s">
        <v>54</v>
      </c>
      <c r="D5" s="29" t="s">
        <v>55</v>
      </c>
      <c r="E5" s="27"/>
      <c r="M5" s="26" t="s">
        <v>46</v>
      </c>
      <c r="N5" s="26" t="s">
        <v>15</v>
      </c>
      <c r="O5" s="26" t="s">
        <v>50</v>
      </c>
      <c r="P5" s="26" t="s">
        <v>16</v>
      </c>
    </row>
    <row r="6" spans="2:16" ht="5.0999999999999996" customHeight="1" x14ac:dyDescent="0.3">
      <c r="B6" s="30"/>
      <c r="C6" s="30"/>
      <c r="D6" s="30"/>
      <c r="E6" s="31"/>
      <c r="M6" s="26" t="s">
        <v>47</v>
      </c>
      <c r="N6" s="26" t="s">
        <v>28</v>
      </c>
      <c r="O6" s="26" t="s">
        <v>51</v>
      </c>
      <c r="P6" s="26" t="s">
        <v>20</v>
      </c>
    </row>
    <row r="7" spans="2:16" x14ac:dyDescent="0.3">
      <c r="B7" s="32" t="s">
        <v>8</v>
      </c>
      <c r="C7" s="33">
        <f ca="1">TODAY()</f>
        <v>46107</v>
      </c>
      <c r="D7" s="33">
        <f ca="1">C7</f>
        <v>46107</v>
      </c>
      <c r="E7" s="34" t="str">
        <f>IF(OR(C8="",C9="",C10="",C11="",C12=""),"Provide Key Inputs","The Market implied fair value of S&amp;P 500 is "&amp;ROUNDUP(E2,0)&amp;". The S&amp;P 500 is currently trading at "&amp;ROUNDUP(D8,0)&amp;". A "&amp;TEXT(ABS((D8-E2)/D8),"0.00%")&amp;" "&amp;IF(E4="Undervalued","appreciation",IF(E4="Overvalued","Correction","Adjustment"))&amp;" expected from this level.")</f>
        <v>The Market implied fair value of S&amp;P 500 is 11302. The S&amp;P 500 is currently trading at 6901. A 63.77% appreciation expected from this level.</v>
      </c>
      <c r="M7" s="26" t="s">
        <v>48</v>
      </c>
      <c r="N7" s="26"/>
      <c r="O7" s="26" t="s">
        <v>47</v>
      </c>
      <c r="P7" s="26" t="s">
        <v>17</v>
      </c>
    </row>
    <row r="8" spans="2:16" x14ac:dyDescent="0.3">
      <c r="B8" s="32" t="s">
        <v>56</v>
      </c>
      <c r="C8" s="17">
        <v>6901</v>
      </c>
      <c r="D8" s="35">
        <f>C8</f>
        <v>6901</v>
      </c>
      <c r="E8" s="34"/>
      <c r="M8" s="26" t="s">
        <v>49</v>
      </c>
      <c r="N8" s="26"/>
      <c r="O8" s="26" t="s">
        <v>48</v>
      </c>
      <c r="P8" s="26"/>
    </row>
    <row r="9" spans="2:16" x14ac:dyDescent="0.3">
      <c r="B9" s="32" t="s">
        <v>57</v>
      </c>
      <c r="C9" s="18" t="s">
        <v>50</v>
      </c>
      <c r="D9" s="36">
        <f>VLOOKUP(C9,'Exp. Div&amp;BB'!J3:K13,2,FALSE)</f>
        <v>4.7289804116044241E-2</v>
      </c>
      <c r="E9" s="34"/>
      <c r="M9" s="26"/>
      <c r="N9" s="26"/>
      <c r="O9" s="26" t="s">
        <v>17</v>
      </c>
      <c r="P9" s="26"/>
    </row>
    <row r="10" spans="2:16" x14ac:dyDescent="0.3">
      <c r="B10" s="32" t="s">
        <v>58</v>
      </c>
      <c r="C10" s="18" t="s">
        <v>28</v>
      </c>
      <c r="D10" s="36">
        <f>VLOOKUP(C10,'S&amp;P 500 EPS Growth'!L4:M10,2,FALSE)</f>
        <v>8.3206426975188916E-2</v>
      </c>
      <c r="E10" s="34"/>
    </row>
    <row r="11" spans="2:16" x14ac:dyDescent="0.3">
      <c r="B11" s="32" t="s">
        <v>59</v>
      </c>
      <c r="C11" s="18" t="s">
        <v>17</v>
      </c>
      <c r="D11" s="36">
        <f>VLOOKUP(C11,'Rf Historical'!J4:K16,2,FALSE)</f>
        <v>4.2479090909090904E-2</v>
      </c>
      <c r="E11" s="34"/>
    </row>
    <row r="12" spans="2:16" x14ac:dyDescent="0.3">
      <c r="B12" s="32" t="s">
        <v>60</v>
      </c>
      <c r="C12" s="18" t="s">
        <v>17</v>
      </c>
      <c r="D12" s="36">
        <f>VLOOKUP(C12,'ERP Historical'!G4:H12,2,FALSE)</f>
        <v>1.9800000000000002E-2</v>
      </c>
      <c r="E12" s="34"/>
    </row>
    <row r="13" spans="2:16" x14ac:dyDescent="0.3">
      <c r="B13" s="32" t="s">
        <v>61</v>
      </c>
      <c r="C13" s="37"/>
      <c r="D13" s="36">
        <f>D11+D12</f>
        <v>6.2279090909090909E-2</v>
      </c>
      <c r="E13" s="34"/>
    </row>
    <row r="14" spans="2:16" x14ac:dyDescent="0.3">
      <c r="B14" s="38" t="s">
        <v>69</v>
      </c>
      <c r="C14" s="39"/>
      <c r="D14" s="40">
        <v>0.01</v>
      </c>
      <c r="E14" s="41"/>
    </row>
    <row r="15" spans="2:16" ht="5.0999999999999996" customHeight="1" x14ac:dyDescent="0.3"/>
    <row r="16" spans="2:16" ht="14.4" customHeight="1" x14ac:dyDescent="0.3">
      <c r="B16" s="42" t="s">
        <v>10</v>
      </c>
      <c r="C16" s="43" t="s">
        <v>70</v>
      </c>
      <c r="D16" s="43" t="s">
        <v>66</v>
      </c>
      <c r="E16" s="43" t="s">
        <v>67</v>
      </c>
    </row>
    <row r="17" spans="2:5" x14ac:dyDescent="0.3">
      <c r="B17" s="42"/>
      <c r="C17" s="43"/>
      <c r="D17" s="43"/>
      <c r="E17" s="43"/>
    </row>
    <row r="18" spans="2:5" ht="5.0999999999999996" customHeight="1" x14ac:dyDescent="0.3">
      <c r="B18" s="31"/>
      <c r="C18" s="31"/>
      <c r="D18" s="31"/>
      <c r="E18" s="31"/>
    </row>
    <row r="19" spans="2:5" x14ac:dyDescent="0.3">
      <c r="B19" s="44">
        <v>2025</v>
      </c>
      <c r="C19" s="45">
        <f>$D$8*$D$9*(1+$D$10)^(B19-($B$19-1))</f>
        <v>353.50110088713723</v>
      </c>
      <c r="D19" s="46">
        <f>1/(1+$D$13)^(B19-($B$19-1))</f>
        <v>0.94137219545967632</v>
      </c>
      <c r="E19" s="45">
        <f>C19*D19</f>
        <v>332.77610743953693</v>
      </c>
    </row>
    <row r="20" spans="2:5" x14ac:dyDescent="0.3">
      <c r="B20" s="44">
        <f>B19+1</f>
        <v>2026</v>
      </c>
      <c r="C20" s="45">
        <f>$D$8*$D$9*(1+$D$10)^(B20-($B$19-1))</f>
        <v>382.91466442375167</v>
      </c>
      <c r="D20" s="46">
        <f t="shared" ref="D20:D28" si="0">1/(1+$D$13)^(B20-($B$19-1))</f>
        <v>0.88618161038457111</v>
      </c>
      <c r="E20" s="45">
        <f t="shared" ref="E20:E29" si="1">C20*D20</f>
        <v>339.33193395890788</v>
      </c>
    </row>
    <row r="21" spans="2:5" x14ac:dyDescent="0.3">
      <c r="B21" s="44">
        <f t="shared" ref="B21:B28" si="2">B20+1</f>
        <v>2027</v>
      </c>
      <c r="C21" s="45">
        <f t="shared" ref="C21:C28" si="3">$D$8*$D$9*(1+$D$10)^(B21-($B$19-1))</f>
        <v>414.77562548685552</v>
      </c>
      <c r="D21" s="46">
        <f t="shared" si="0"/>
        <v>0.83422672814371523</v>
      </c>
      <c r="E21" s="45">
        <f t="shared" si="1"/>
        <v>346.01691296366243</v>
      </c>
    </row>
    <row r="22" spans="2:5" x14ac:dyDescent="0.3">
      <c r="B22" s="44">
        <f t="shared" si="2"/>
        <v>2028</v>
      </c>
      <c r="C22" s="45">
        <f t="shared" si="3"/>
        <v>449.28762328001585</v>
      </c>
      <c r="D22" s="46">
        <f t="shared" si="0"/>
        <v>0.78531784658379178</v>
      </c>
      <c r="E22" s="45">
        <f t="shared" si="1"/>
        <v>352.83358881101191</v>
      </c>
    </row>
    <row r="23" spans="2:5" x14ac:dyDescent="0.3">
      <c r="B23" s="44">
        <f t="shared" si="2"/>
        <v>2029</v>
      </c>
      <c r="C23" s="45">
        <f t="shared" si="3"/>
        <v>486.67124109732066</v>
      </c>
      <c r="D23" s="46">
        <f t="shared" si="0"/>
        <v>0.73927638537224938</v>
      </c>
      <c r="E23" s="45">
        <f t="shared" si="1"/>
        <v>359.78455598305374</v>
      </c>
    </row>
    <row r="24" spans="2:5" x14ac:dyDescent="0.3">
      <c r="B24" s="44">
        <f t="shared" si="2"/>
        <v>2030</v>
      </c>
      <c r="C24" s="45">
        <f t="shared" si="3"/>
        <v>527.16541618060944</v>
      </c>
      <c r="D24" s="46">
        <f t="shared" si="0"/>
        <v>0.69593423394936815</v>
      </c>
      <c r="E24" s="45">
        <f t="shared" si="1"/>
        <v>366.87246007425227</v>
      </c>
    </row>
    <row r="25" spans="2:5" x14ac:dyDescent="0.3">
      <c r="B25" s="44">
        <f t="shared" si="2"/>
        <v>2031</v>
      </c>
      <c r="C25" s="45">
        <f t="shared" si="3"/>
        <v>571.02896688588623</v>
      </c>
      <c r="D25" s="46">
        <f t="shared" si="0"/>
        <v>0.65513313770846471</v>
      </c>
      <c r="E25" s="45">
        <f t="shared" si="1"/>
        <v>374.09999879837363</v>
      </c>
    </row>
    <row r="26" spans="2:5" x14ac:dyDescent="0.3">
      <c r="B26" s="44">
        <f t="shared" si="2"/>
        <v>2032</v>
      </c>
      <c r="C26" s="45">
        <f t="shared" si="3"/>
        <v>618.54224691979437</v>
      </c>
      <c r="D26" s="46">
        <f t="shared" si="0"/>
        <v>0.61672412016300393</v>
      </c>
      <c r="E26" s="45">
        <f t="shared" si="1"/>
        <v>381.46992301525773</v>
      </c>
    </row>
    <row r="27" spans="2:5" x14ac:dyDescent="0.3">
      <c r="B27" s="44">
        <f t="shared" si="2"/>
        <v>2033</v>
      </c>
      <c r="C27" s="45">
        <f t="shared" si="3"/>
        <v>670.00893721919545</v>
      </c>
      <c r="D27" s="46">
        <f t="shared" si="0"/>
        <v>0.58056693899078426</v>
      </c>
      <c r="E27" s="45">
        <f t="shared" si="1"/>
        <v>388.98503777781684</v>
      </c>
    </row>
    <row r="28" spans="2:5" x14ac:dyDescent="0.3">
      <c r="B28" s="44">
        <f t="shared" si="2"/>
        <v>2034</v>
      </c>
      <c r="C28" s="45">
        <f t="shared" si="3"/>
        <v>725.75798692664841</v>
      </c>
      <c r="D28" s="46">
        <f t="shared" si="0"/>
        <v>0.54652957396905855</v>
      </c>
      <c r="E28" s="45">
        <f t="shared" si="1"/>
        <v>396.64820339966275</v>
      </c>
    </row>
    <row r="29" spans="2:5" x14ac:dyDescent="0.3">
      <c r="B29" s="47" t="s">
        <v>68</v>
      </c>
      <c r="C29" s="48">
        <f>(C28*(1+D14))/(D13-D14)</f>
        <v>14021.199566583309</v>
      </c>
      <c r="D29" s="49">
        <f>D28</f>
        <v>0.54652957396905855</v>
      </c>
      <c r="E29" s="48">
        <f t="shared" si="1"/>
        <v>7663.0002256599246</v>
      </c>
    </row>
  </sheetData>
  <sheetProtection algorithmName="SHA-512" hashValue="5y2J+X/8OdvKYBqibKLcArrERjuoViQbkS5UPSJY64gtmaSll01e/iAzOXtbCKfZXXlpDIaIPYe96a444X+Fcg==" saltValue="FHY+SlBFldgPNjVIvflaaQ==" spinCount="100000" sheet="1" objects="1" scenarios="1" selectLockedCells="1"/>
  <mergeCells count="8">
    <mergeCell ref="B2:D4"/>
    <mergeCell ref="E2:E3"/>
    <mergeCell ref="E4:E5"/>
    <mergeCell ref="B16:B17"/>
    <mergeCell ref="C16:C17"/>
    <mergeCell ref="D16:D17"/>
    <mergeCell ref="E16:E17"/>
    <mergeCell ref="E7:E14"/>
  </mergeCells>
  <conditionalFormatting sqref="E4:E5">
    <cfRule type="containsText" dxfId="2" priority="1" operator="containsText" text="Fairly Valued">
      <formula>NOT(ISERROR(SEARCH("Fairly Valued",E4)))</formula>
    </cfRule>
    <cfRule type="containsText" dxfId="1" priority="2" operator="containsText" text="Overvalued">
      <formula>NOT(ISERROR(SEARCH("Overvalued",E4)))</formula>
    </cfRule>
    <cfRule type="containsText" dxfId="0" priority="3" operator="containsText" text="Undervalued">
      <formula>NOT(ISERROR(SEARCH("Undervalued",E4)))</formula>
    </cfRule>
  </conditionalFormatting>
  <dataValidations count="4">
    <dataValidation type="list" allowBlank="1" showInputMessage="1" showErrorMessage="1" sqref="C9" xr:uid="{FA7CA6E8-8FA6-4B66-A241-D4A8E9BF0809}">
      <formula1>$M$3:$M$8</formula1>
    </dataValidation>
    <dataValidation type="list" allowBlank="1" showInputMessage="1" showErrorMessage="1" sqref="C10" xr:uid="{C770FAAB-D4D9-4572-A346-BD3C24F0D4D3}">
      <formula1>$N$3:$N$6</formula1>
    </dataValidation>
    <dataValidation type="list" allowBlank="1" showInputMessage="1" showErrorMessage="1" sqref="C11" xr:uid="{81C4BB8D-5CCE-4E0A-AF1F-08888866B800}">
      <formula1>$O$3:$O$9</formula1>
    </dataValidation>
    <dataValidation type="list" allowBlank="1" showInputMessage="1" showErrorMessage="1" sqref="C12" xr:uid="{7B9D7A6D-E610-4F05-A7BF-DEE986F26849}">
      <formula1>$P$3:$P$7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9F02-C652-447B-9413-3158A53B5A86}">
  <sheetPr>
    <tabColor rgb="FF002060"/>
  </sheetPr>
  <dimension ref="A1"/>
  <sheetViews>
    <sheetView showGridLines="0" workbookViewId="0"/>
  </sheetViews>
  <sheetFormatPr defaultRowHeight="14.4" x14ac:dyDescent="0.3"/>
  <cols>
    <col min="1" max="1" width="1.8867187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91E5-928C-4522-974C-FC93E261ACA5}">
  <dimension ref="B2:M38"/>
  <sheetViews>
    <sheetView showGridLines="0" workbookViewId="0">
      <selection activeCell="G3" sqref="A1:XFD1048576"/>
    </sheetView>
  </sheetViews>
  <sheetFormatPr defaultRowHeight="14.4" x14ac:dyDescent="0.3"/>
  <cols>
    <col min="1" max="1" width="1.88671875" customWidth="1"/>
    <col min="3" max="3" width="14.5546875" bestFit="1" customWidth="1"/>
    <col min="4" max="4" width="13.5546875" bestFit="1" customWidth="1"/>
    <col min="5" max="5" width="13.5546875" customWidth="1"/>
    <col min="6" max="6" width="17.21875" bestFit="1" customWidth="1"/>
    <col min="7" max="7" width="21" bestFit="1" customWidth="1"/>
    <col min="9" max="9" width="27.88671875" bestFit="1" customWidth="1"/>
    <col min="12" max="12" width="11" bestFit="1" customWidth="1"/>
    <col min="14" max="14" width="22.6640625" bestFit="1" customWidth="1"/>
  </cols>
  <sheetData>
    <row r="2" spans="2:13" x14ac:dyDescent="0.3">
      <c r="B2" s="3" t="s">
        <v>10</v>
      </c>
      <c r="C2" s="3" t="s">
        <v>30</v>
      </c>
      <c r="D2" s="3" t="s">
        <v>41</v>
      </c>
      <c r="E2" s="3" t="s">
        <v>42</v>
      </c>
      <c r="F2" s="3" t="s">
        <v>43</v>
      </c>
      <c r="G2" s="3" t="s">
        <v>44</v>
      </c>
    </row>
    <row r="3" spans="2:13" x14ac:dyDescent="0.3">
      <c r="B3" s="19">
        <v>2000</v>
      </c>
      <c r="C3" s="20">
        <f>VLOOKUP(B3,'S&amp;P 500 Historical'!$H$2:$J$28,2,FALSE)</f>
        <v>1419.7333333333333</v>
      </c>
      <c r="D3" s="21">
        <v>16.27</v>
      </c>
      <c r="E3" s="21">
        <v>14.8</v>
      </c>
      <c r="F3" s="21">
        <f>D3+E3</f>
        <v>31.07</v>
      </c>
      <c r="G3" s="22">
        <f>F3/C3</f>
        <v>2.188439143501127E-2</v>
      </c>
      <c r="I3" s="3" t="s">
        <v>45</v>
      </c>
      <c r="J3" s="3" t="s">
        <v>50</v>
      </c>
      <c r="K3" s="5">
        <f>AVERAGE(G9:G28)</f>
        <v>4.7289804116044241E-2</v>
      </c>
    </row>
    <row r="4" spans="2:13" x14ac:dyDescent="0.3">
      <c r="B4" s="19">
        <f>B3+1</f>
        <v>2001</v>
      </c>
      <c r="C4" s="20">
        <f>VLOOKUP(B4,'S&amp;P 500 Historical'!$H$2:$J$28,2,FALSE)</f>
        <v>1185.75</v>
      </c>
      <c r="D4" s="21">
        <v>15.74</v>
      </c>
      <c r="E4" s="21">
        <v>14.339999999999998</v>
      </c>
      <c r="F4" s="21">
        <f>D4+E4</f>
        <v>30.08</v>
      </c>
      <c r="G4" s="22">
        <f t="shared" ref="G4:G28" si="0">F4/C4</f>
        <v>2.5367910605102253E-2</v>
      </c>
    </row>
    <row r="5" spans="2:13" x14ac:dyDescent="0.3">
      <c r="B5" s="19">
        <f t="shared" ref="B5:B28" si="1">B4+1</f>
        <v>2002</v>
      </c>
      <c r="C5" s="20">
        <f>VLOOKUP(B5,'S&amp;P 500 Historical'!$H$2:$J$28,2,FALSE)</f>
        <v>988.58333333333314</v>
      </c>
      <c r="D5" s="21">
        <v>16.079999999999998</v>
      </c>
      <c r="E5" s="21">
        <v>13.75</v>
      </c>
      <c r="F5" s="21">
        <f t="shared" ref="F5:F28" si="2">D5+E5</f>
        <v>29.83</v>
      </c>
      <c r="G5" s="22">
        <f t="shared" si="0"/>
        <v>3.017449211835118E-2</v>
      </c>
      <c r="I5" s="3" t="s">
        <v>45</v>
      </c>
      <c r="J5" s="3" t="s">
        <v>51</v>
      </c>
      <c r="K5" s="5">
        <f>AVERAGE(G14:G28)</f>
        <v>4.5443275489821459E-2</v>
      </c>
    </row>
    <row r="6" spans="2:13" x14ac:dyDescent="0.3">
      <c r="B6" s="19">
        <f t="shared" si="1"/>
        <v>2003</v>
      </c>
      <c r="C6" s="20">
        <f>VLOOKUP(B6,'S&amp;P 500 Historical'!$H$2:$J$28,2,FALSE)</f>
        <v>967.92500000000007</v>
      </c>
      <c r="D6" s="21">
        <v>17.88</v>
      </c>
      <c r="E6" s="21">
        <v>13.7</v>
      </c>
      <c r="F6" s="21">
        <f t="shared" si="2"/>
        <v>31.58</v>
      </c>
      <c r="G6" s="22">
        <f t="shared" si="0"/>
        <v>3.2626494821396283E-2</v>
      </c>
    </row>
    <row r="7" spans="2:13" x14ac:dyDescent="0.3">
      <c r="B7" s="19">
        <f t="shared" si="1"/>
        <v>2004</v>
      </c>
      <c r="C7" s="20">
        <f>VLOOKUP(B7,'S&amp;P 500 Historical'!$H$2:$J$28,2,FALSE)</f>
        <v>1133.95</v>
      </c>
      <c r="D7" s="21">
        <v>19.407</v>
      </c>
      <c r="E7" s="21">
        <v>21.193000000000001</v>
      </c>
      <c r="F7" s="21">
        <f t="shared" si="2"/>
        <v>40.6</v>
      </c>
      <c r="G7" s="22">
        <f t="shared" si="0"/>
        <v>3.5804047797521936E-2</v>
      </c>
      <c r="I7" s="3" t="s">
        <v>45</v>
      </c>
      <c r="J7" s="3" t="s">
        <v>46</v>
      </c>
      <c r="K7" s="5">
        <f>AVERAGE(G19:G28)</f>
        <v>4.1375961428534079E-2</v>
      </c>
    </row>
    <row r="8" spans="2:13" x14ac:dyDescent="0.3">
      <c r="B8" s="19">
        <f t="shared" si="1"/>
        <v>2005</v>
      </c>
      <c r="C8" s="20">
        <f>VLOOKUP(B8,'S&amp;P 500 Historical'!$H$2:$J$28,2,FALSE)</f>
        <v>1207.7666666666664</v>
      </c>
      <c r="D8" s="21">
        <v>22.38</v>
      </c>
      <c r="E8" s="21">
        <v>38.790000000000006</v>
      </c>
      <c r="F8" s="21">
        <f t="shared" si="2"/>
        <v>61.17</v>
      </c>
      <c r="G8" s="22">
        <f t="shared" si="0"/>
        <v>5.064720006623797E-2</v>
      </c>
      <c r="L8" s="6"/>
      <c r="M8" s="6"/>
    </row>
    <row r="9" spans="2:13" x14ac:dyDescent="0.3">
      <c r="B9" s="19">
        <f t="shared" si="1"/>
        <v>2006</v>
      </c>
      <c r="C9" s="20">
        <f>VLOOKUP(B9,'S&amp;P 500 Historical'!$H$2:$J$28,2,FALSE)</f>
        <v>1318.3</v>
      </c>
      <c r="D9" s="21">
        <v>25.05</v>
      </c>
      <c r="E9" s="21">
        <v>48.11</v>
      </c>
      <c r="F9" s="21">
        <f t="shared" si="2"/>
        <v>73.16</v>
      </c>
      <c r="G9" s="22">
        <f t="shared" si="0"/>
        <v>5.5495714177349616E-2</v>
      </c>
      <c r="I9" s="3" t="s">
        <v>45</v>
      </c>
      <c r="J9" s="3" t="s">
        <v>47</v>
      </c>
      <c r="K9" s="5">
        <f>AVERAGE(G22:G28)</f>
        <v>3.8332903683786834E-2</v>
      </c>
      <c r="L9" s="6"/>
      <c r="M9" s="6"/>
    </row>
    <row r="10" spans="2:13" x14ac:dyDescent="0.3">
      <c r="B10" s="19">
        <f t="shared" si="1"/>
        <v>2007</v>
      </c>
      <c r="C10" s="20">
        <f>VLOOKUP(B10,'S&amp;P 500 Historical'!$H$2:$J$28,2,FALSE)</f>
        <v>1478.0999999999997</v>
      </c>
      <c r="D10" s="21">
        <v>27.73</v>
      </c>
      <c r="E10" s="21">
        <v>67.63</v>
      </c>
      <c r="F10" s="21">
        <f t="shared" si="2"/>
        <v>95.36</v>
      </c>
      <c r="G10" s="22">
        <f t="shared" si="0"/>
        <v>6.4515256071984314E-2</v>
      </c>
      <c r="L10" s="6"/>
      <c r="M10" s="6"/>
    </row>
    <row r="11" spans="2:13" x14ac:dyDescent="0.3">
      <c r="B11" s="19">
        <f t="shared" si="1"/>
        <v>2008</v>
      </c>
      <c r="C11" s="20">
        <f>VLOOKUP(B11,'S&amp;P 500 Historical'!$H$2:$J$28,2,FALSE)</f>
        <v>1215.2166666666665</v>
      </c>
      <c r="D11" s="21">
        <v>28.05</v>
      </c>
      <c r="E11" s="21">
        <v>39.47</v>
      </c>
      <c r="F11" s="21">
        <f t="shared" si="2"/>
        <v>67.52</v>
      </c>
      <c r="G11" s="22">
        <f t="shared" si="0"/>
        <v>5.5562108266015667E-2</v>
      </c>
      <c r="I11" s="3" t="s">
        <v>45</v>
      </c>
      <c r="J11" s="3" t="s">
        <v>48</v>
      </c>
      <c r="K11" s="5">
        <f>AVERAGE(G24:G28)</f>
        <v>3.547670638274894E-2</v>
      </c>
      <c r="L11" s="6"/>
      <c r="M11" s="6"/>
    </row>
    <row r="12" spans="2:13" x14ac:dyDescent="0.3">
      <c r="B12" s="19">
        <f t="shared" si="1"/>
        <v>2009</v>
      </c>
      <c r="C12" s="20">
        <f>VLOOKUP(B12,'S&amp;P 500 Historical'!$H$2:$J$28,2,FALSE)</f>
        <v>948.51666666666688</v>
      </c>
      <c r="D12" s="21">
        <v>22.31</v>
      </c>
      <c r="E12" s="21">
        <v>15.120000000000001</v>
      </c>
      <c r="F12" s="21">
        <f t="shared" si="2"/>
        <v>37.43</v>
      </c>
      <c r="G12" s="22">
        <f t="shared" si="0"/>
        <v>3.9461615504911167E-2</v>
      </c>
      <c r="L12" s="6"/>
      <c r="M12" s="6"/>
    </row>
    <row r="13" spans="2:13" x14ac:dyDescent="0.3">
      <c r="B13" s="19">
        <f t="shared" si="1"/>
        <v>2010</v>
      </c>
      <c r="C13" s="20">
        <f>VLOOKUP(B13,'S&amp;P 500 Historical'!$H$2:$J$28,2,FALSE)</f>
        <v>1130.675</v>
      </c>
      <c r="D13" s="21">
        <v>23.12</v>
      </c>
      <c r="E13" s="21">
        <v>32.409999999999997</v>
      </c>
      <c r="F13" s="21">
        <f t="shared" si="2"/>
        <v>55.53</v>
      </c>
      <c r="G13" s="22">
        <f t="shared" si="0"/>
        <v>4.9112255953302236E-2</v>
      </c>
      <c r="I13" s="3" t="s">
        <v>45</v>
      </c>
      <c r="J13" s="3" t="s">
        <v>49</v>
      </c>
      <c r="K13" s="5">
        <f>AVERAGE(G26:G28)</f>
        <v>3.2780211832464511E-2</v>
      </c>
      <c r="L13" s="6"/>
      <c r="M13" s="6"/>
    </row>
    <row r="14" spans="2:13" x14ac:dyDescent="0.3">
      <c r="B14" s="19">
        <f t="shared" si="1"/>
        <v>2011</v>
      </c>
      <c r="C14" s="20">
        <f>VLOOKUP(B14,'S&amp;P 500 Historical'!$H$2:$J$28,2,FALSE)</f>
        <v>1280.7499999999998</v>
      </c>
      <c r="D14" s="21">
        <v>26.02</v>
      </c>
      <c r="E14" s="21">
        <v>45.260000000000005</v>
      </c>
      <c r="F14" s="21">
        <f t="shared" si="2"/>
        <v>71.28</v>
      </c>
      <c r="G14" s="22">
        <f t="shared" si="0"/>
        <v>5.5654889713058764E-2</v>
      </c>
      <c r="L14" s="6"/>
      <c r="M14" s="6"/>
    </row>
    <row r="15" spans="2:13" x14ac:dyDescent="0.3">
      <c r="B15" s="19">
        <f t="shared" si="1"/>
        <v>2012</v>
      </c>
      <c r="C15" s="20">
        <f>VLOOKUP(B15,'S&amp;P 500 Historical'!$H$2:$J$28,2,FALSE)</f>
        <v>1386.5166666666667</v>
      </c>
      <c r="D15" s="21">
        <v>30.44</v>
      </c>
      <c r="E15" s="21">
        <v>45.460000000000008</v>
      </c>
      <c r="F15" s="21">
        <f t="shared" si="2"/>
        <v>75.900000000000006</v>
      </c>
      <c r="G15" s="22">
        <f t="shared" si="0"/>
        <v>5.4741498479402823E-2</v>
      </c>
      <c r="J15" s="6"/>
      <c r="K15" s="6"/>
      <c r="L15" s="6"/>
      <c r="M15" s="6"/>
    </row>
    <row r="16" spans="2:13" x14ac:dyDescent="0.3">
      <c r="B16" s="19">
        <f t="shared" si="1"/>
        <v>2013</v>
      </c>
      <c r="C16" s="20">
        <f>VLOOKUP(B16,'S&amp;P 500 Historical'!$H$2:$J$28,2,FALSE)</f>
        <v>1652.291666666667</v>
      </c>
      <c r="D16" s="21">
        <v>36.28</v>
      </c>
      <c r="E16" s="21">
        <v>51.849999999999994</v>
      </c>
      <c r="F16" s="21">
        <f t="shared" si="2"/>
        <v>88.13</v>
      </c>
      <c r="G16" s="22">
        <f t="shared" si="0"/>
        <v>5.3338040600176509E-2</v>
      </c>
      <c r="J16" s="6"/>
      <c r="K16" s="6"/>
      <c r="L16" s="6"/>
      <c r="M16" s="6"/>
    </row>
    <row r="17" spans="2:13" x14ac:dyDescent="0.3">
      <c r="B17" s="19">
        <f t="shared" si="1"/>
        <v>2014</v>
      </c>
      <c r="C17" s="20">
        <f>VLOOKUP(B17,'S&amp;P 500 Historical'!$H$2:$J$28,2,FALSE)</f>
        <v>1944.4150000000002</v>
      </c>
      <c r="D17" s="21">
        <v>39.44</v>
      </c>
      <c r="E17" s="21">
        <v>62.540000000000006</v>
      </c>
      <c r="F17" s="21">
        <f t="shared" si="2"/>
        <v>101.98</v>
      </c>
      <c r="G17" s="22">
        <f t="shared" si="0"/>
        <v>5.2447651350149012E-2</v>
      </c>
      <c r="J17" s="6"/>
      <c r="K17" s="6"/>
      <c r="L17" s="6"/>
      <c r="M17" s="6"/>
    </row>
    <row r="18" spans="2:13" x14ac:dyDescent="0.3">
      <c r="B18" s="19">
        <f t="shared" si="1"/>
        <v>2015</v>
      </c>
      <c r="C18" s="20">
        <f>VLOOKUP(B18,'S&amp;P 500 Historical'!$H$2:$J$28,2,FALSE)</f>
        <v>2051.9291666666663</v>
      </c>
      <c r="D18" s="21">
        <v>43.16</v>
      </c>
      <c r="E18" s="21">
        <v>62.94</v>
      </c>
      <c r="F18" s="21">
        <f t="shared" si="2"/>
        <v>106.1</v>
      </c>
      <c r="G18" s="22">
        <f t="shared" si="0"/>
        <v>5.1707437919193938E-2</v>
      </c>
      <c r="J18" s="6"/>
      <c r="K18" s="6"/>
      <c r="L18" s="6"/>
      <c r="M18" s="6"/>
    </row>
    <row r="19" spans="2:13" x14ac:dyDescent="0.3">
      <c r="B19" s="19">
        <f t="shared" si="1"/>
        <v>2016</v>
      </c>
      <c r="C19" s="20">
        <f>VLOOKUP(B19,'S&amp;P 500 Historical'!$H$2:$J$28,2,FALSE)</f>
        <v>2105.8283333333334</v>
      </c>
      <c r="D19" s="21">
        <v>45.03</v>
      </c>
      <c r="E19" s="21">
        <v>63.64</v>
      </c>
      <c r="F19" s="21">
        <f t="shared" si="2"/>
        <v>108.67</v>
      </c>
      <c r="G19" s="22">
        <f t="shared" si="0"/>
        <v>5.1604396369757902E-2</v>
      </c>
      <c r="J19" s="6"/>
      <c r="K19" s="6"/>
      <c r="L19" s="6"/>
      <c r="M19" s="6"/>
    </row>
    <row r="20" spans="2:13" x14ac:dyDescent="0.3">
      <c r="B20" s="19">
        <f t="shared" si="1"/>
        <v>2017</v>
      </c>
      <c r="C20" s="20">
        <f>VLOOKUP(B20,'S&amp;P 500 Historical'!$H$2:$J$28,2,FALSE)</f>
        <v>2465.2000000000003</v>
      </c>
      <c r="D20" s="21">
        <v>49.73</v>
      </c>
      <c r="E20" s="21">
        <v>58.550000000000004</v>
      </c>
      <c r="F20" s="21">
        <f t="shared" si="2"/>
        <v>108.28</v>
      </c>
      <c r="G20" s="22">
        <f t="shared" si="0"/>
        <v>4.3923413921791332E-2</v>
      </c>
      <c r="J20" s="6"/>
      <c r="K20" s="6"/>
      <c r="L20" s="6"/>
      <c r="M20" s="6"/>
    </row>
    <row r="21" spans="2:13" x14ac:dyDescent="0.3">
      <c r="B21" s="19">
        <f t="shared" si="1"/>
        <v>2018</v>
      </c>
      <c r="C21" s="20">
        <f>VLOOKUP(B21,'S&amp;P 500 Historical'!$H$2:$J$28,2,FALSE)</f>
        <v>2738.3958333333335</v>
      </c>
      <c r="D21" s="21">
        <v>53.61</v>
      </c>
      <c r="E21" s="21">
        <v>83.04</v>
      </c>
      <c r="F21" s="21">
        <f t="shared" si="2"/>
        <v>136.65</v>
      </c>
      <c r="G21" s="22">
        <f t="shared" si="0"/>
        <v>4.9901478207283766E-2</v>
      </c>
      <c r="J21" s="6"/>
      <c r="K21" s="6"/>
      <c r="L21" s="6"/>
      <c r="M21" s="6"/>
    </row>
    <row r="22" spans="2:13" x14ac:dyDescent="0.3">
      <c r="B22" s="19">
        <f t="shared" si="1"/>
        <v>2019</v>
      </c>
      <c r="C22" s="20">
        <f>VLOOKUP(B22,'S&amp;P 500 Historical'!$H$2:$J$28,2,FALSE)</f>
        <v>2937.9616666666666</v>
      </c>
      <c r="D22" s="21">
        <v>58.8</v>
      </c>
      <c r="E22" s="21">
        <v>91.7</v>
      </c>
      <c r="F22" s="21">
        <f t="shared" si="2"/>
        <v>150.5</v>
      </c>
      <c r="G22" s="22">
        <f t="shared" si="0"/>
        <v>5.1225991716479173E-2</v>
      </c>
      <c r="J22" s="6"/>
      <c r="K22" s="6"/>
      <c r="L22" s="6"/>
      <c r="M22" s="6"/>
    </row>
    <row r="23" spans="2:13" x14ac:dyDescent="0.3">
      <c r="B23" s="19">
        <f t="shared" si="1"/>
        <v>2020</v>
      </c>
      <c r="C23" s="20">
        <f>VLOOKUP(B23,'S&amp;P 500 Historical'!$H$2:$J$28,2,FALSE)</f>
        <v>3216.9541666666664</v>
      </c>
      <c r="D23" s="21">
        <v>56.7</v>
      </c>
      <c r="E23" s="21">
        <v>71.08</v>
      </c>
      <c r="F23" s="21">
        <f t="shared" si="2"/>
        <v>127.78</v>
      </c>
      <c r="G23" s="22">
        <f t="shared" si="0"/>
        <v>3.9720802156283964E-2</v>
      </c>
      <c r="J23" s="6"/>
      <c r="K23" s="6"/>
      <c r="L23" s="6"/>
      <c r="M23" s="6"/>
    </row>
    <row r="24" spans="2:13" x14ac:dyDescent="0.3">
      <c r="B24" s="19">
        <f t="shared" si="1"/>
        <v>2021</v>
      </c>
      <c r="C24" s="20">
        <f>VLOOKUP(B24,'S&amp;P 500 Historical'!$H$2:$J$28,2,FALSE)</f>
        <v>4278.7583333333332</v>
      </c>
      <c r="D24" s="21">
        <v>59.2</v>
      </c>
      <c r="E24" s="21">
        <v>88.04</v>
      </c>
      <c r="F24" s="21">
        <f t="shared" si="2"/>
        <v>147.24</v>
      </c>
      <c r="G24" s="22">
        <f t="shared" si="0"/>
        <v>3.4411852348130594E-2</v>
      </c>
      <c r="J24" s="6"/>
      <c r="K24" s="6"/>
      <c r="L24" s="6"/>
      <c r="M24" s="6"/>
    </row>
    <row r="25" spans="2:13" x14ac:dyDescent="0.3">
      <c r="B25" s="19">
        <f t="shared" si="1"/>
        <v>2022</v>
      </c>
      <c r="C25" s="20">
        <f>VLOOKUP(B25,'S&amp;P 500 Historical'!$H$2:$J$28,2,FALSE)</f>
        <v>4077.6550000000011</v>
      </c>
      <c r="D25" s="21">
        <v>68.34</v>
      </c>
      <c r="E25" s="21">
        <v>113.65</v>
      </c>
      <c r="F25" s="21">
        <f t="shared" si="2"/>
        <v>181.99</v>
      </c>
      <c r="G25" s="22">
        <f t="shared" si="0"/>
        <v>4.463104406822057E-2</v>
      </c>
      <c r="J25" s="6"/>
      <c r="K25" s="6"/>
      <c r="L25" s="6"/>
      <c r="M25" s="6"/>
    </row>
    <row r="26" spans="2:13" x14ac:dyDescent="0.3">
      <c r="B26" s="19">
        <f t="shared" si="1"/>
        <v>2023</v>
      </c>
      <c r="C26" s="20">
        <f>VLOOKUP(B26,'S&amp;P 500 Historical'!$H$2:$J$28,2,FALSE)</f>
        <v>4322.6541666666681</v>
      </c>
      <c r="D26" s="21">
        <v>70.069999999999993</v>
      </c>
      <c r="E26" s="21">
        <v>94.72</v>
      </c>
      <c r="F26" s="21">
        <f t="shared" si="2"/>
        <v>164.79</v>
      </c>
      <c r="G26" s="22">
        <f t="shared" si="0"/>
        <v>3.8122411288589078E-2</v>
      </c>
      <c r="J26" s="6"/>
      <c r="K26" s="6"/>
      <c r="L26" s="6"/>
      <c r="M26" s="6"/>
    </row>
    <row r="27" spans="2:13" x14ac:dyDescent="0.3">
      <c r="B27" s="19">
        <f t="shared" si="1"/>
        <v>2024</v>
      </c>
      <c r="C27" s="20">
        <f>VLOOKUP(B27,'S&amp;P 500 Historical'!$H$2:$J$28,2,FALSE)</f>
        <v>5460.2158333333327</v>
      </c>
      <c r="D27" s="21">
        <v>73.400000000000006</v>
      </c>
      <c r="E27" s="21">
        <v>109.4</v>
      </c>
      <c r="F27" s="21">
        <f t="shared" si="2"/>
        <v>182.8</v>
      </c>
      <c r="G27" s="22">
        <f t="shared" si="0"/>
        <v>3.347853007642098E-2</v>
      </c>
      <c r="H27" s="16"/>
      <c r="J27" s="6"/>
      <c r="K27" s="6"/>
      <c r="L27" s="6"/>
      <c r="M27" s="6"/>
    </row>
    <row r="28" spans="2:13" x14ac:dyDescent="0.3">
      <c r="B28" s="19">
        <f t="shared" si="1"/>
        <v>2025</v>
      </c>
      <c r="C28" s="20">
        <f>VLOOKUP(B28,'S&amp;P 500 Historical'!$H$2:$J$28,2,FALSE)</f>
        <v>6276.2991666666667</v>
      </c>
      <c r="D28" s="21">
        <v>69.626320000000007</v>
      </c>
      <c r="E28" s="21">
        <v>98.2</v>
      </c>
      <c r="F28" s="21">
        <f t="shared" si="2"/>
        <v>167.82632000000001</v>
      </c>
      <c r="G28" s="22">
        <f t="shared" si="0"/>
        <v>2.6739694132383484E-2</v>
      </c>
      <c r="J28" s="6"/>
      <c r="K28" s="6"/>
      <c r="L28" s="6"/>
      <c r="M28" s="6"/>
    </row>
    <row r="29" spans="2:13" x14ac:dyDescent="0.3">
      <c r="J29" s="6"/>
      <c r="K29" s="6"/>
      <c r="L29" s="6"/>
      <c r="M29" s="6"/>
    </row>
    <row r="30" spans="2:13" x14ac:dyDescent="0.3">
      <c r="B30" s="4" t="s">
        <v>22</v>
      </c>
      <c r="J30" s="6"/>
      <c r="K30" s="6"/>
      <c r="L30" s="6"/>
      <c r="M30" s="6"/>
    </row>
    <row r="31" spans="2:13" x14ac:dyDescent="0.3">
      <c r="J31" s="6"/>
      <c r="K31" s="6"/>
      <c r="L31" s="6"/>
      <c r="M31" s="6"/>
    </row>
    <row r="32" spans="2:13" x14ac:dyDescent="0.3">
      <c r="J32" s="6"/>
      <c r="K32" s="6"/>
    </row>
    <row r="33" spans="10:11" x14ac:dyDescent="0.3">
      <c r="J33" s="6"/>
      <c r="K33" s="6"/>
    </row>
    <row r="34" spans="10:11" x14ac:dyDescent="0.3">
      <c r="J34" s="6"/>
      <c r="K34" s="6"/>
    </row>
    <row r="35" spans="10:11" x14ac:dyDescent="0.3">
      <c r="J35" s="6"/>
      <c r="K35" s="6"/>
    </row>
    <row r="36" spans="10:11" x14ac:dyDescent="0.3">
      <c r="J36" s="6"/>
      <c r="K36" s="6"/>
    </row>
    <row r="37" spans="10:11" x14ac:dyDescent="0.3">
      <c r="J37" s="6"/>
      <c r="K37" s="6"/>
    </row>
    <row r="38" spans="10:11" x14ac:dyDescent="0.3">
      <c r="J38" s="6"/>
      <c r="K38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B71D-E84D-4244-8BFF-120557D39E0D}">
  <dimension ref="B2:M31"/>
  <sheetViews>
    <sheetView showGridLines="0" workbookViewId="0">
      <selection activeCell="I8" sqref="A1:XFD1048576"/>
    </sheetView>
  </sheetViews>
  <sheetFormatPr defaultRowHeight="14.4" x14ac:dyDescent="0.3"/>
  <cols>
    <col min="1" max="1" width="1.88671875" customWidth="1"/>
    <col min="3" max="3" width="22.21875" bestFit="1" customWidth="1"/>
    <col min="5" max="5" width="12" bestFit="1" customWidth="1"/>
    <col min="6" max="6" width="16.21875" bestFit="1" customWidth="1"/>
    <col min="7" max="7" width="16.6640625" bestFit="1" customWidth="1"/>
    <col min="8" max="8" width="16.21875" bestFit="1" customWidth="1"/>
    <col min="9" max="9" width="17.21875" bestFit="1" customWidth="1"/>
    <col min="11" max="11" width="18.44140625" bestFit="1" customWidth="1"/>
  </cols>
  <sheetData>
    <row r="2" spans="2:13" x14ac:dyDescent="0.3">
      <c r="B2" s="3" t="s">
        <v>10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</row>
    <row r="3" spans="2:13" x14ac:dyDescent="0.3">
      <c r="B3">
        <v>2000</v>
      </c>
      <c r="C3" s="11">
        <v>1419.7333333333333</v>
      </c>
      <c r="D3" s="11">
        <v>27.491924999999998</v>
      </c>
      <c r="E3" s="13">
        <f>C3/D3</f>
        <v>51.641830586011473</v>
      </c>
      <c r="F3" s="14" t="s">
        <v>39</v>
      </c>
      <c r="G3" s="14" t="s">
        <v>39</v>
      </c>
      <c r="H3" s="14" t="s">
        <v>39</v>
      </c>
      <c r="I3" s="14" t="s">
        <v>39</v>
      </c>
    </row>
    <row r="4" spans="2:13" x14ac:dyDescent="0.3">
      <c r="B4">
        <v>2001</v>
      </c>
      <c r="C4" s="11">
        <v>1185.75</v>
      </c>
      <c r="D4" s="11">
        <v>36.619216666666667</v>
      </c>
      <c r="E4" s="13">
        <f t="shared" ref="E4:E28" si="0">C4/D4</f>
        <v>32.380539725726884</v>
      </c>
      <c r="F4" s="14" t="s">
        <v>39</v>
      </c>
      <c r="G4" s="14" t="s">
        <v>39</v>
      </c>
      <c r="H4" s="14" t="s">
        <v>39</v>
      </c>
      <c r="I4" s="14" t="s">
        <v>39</v>
      </c>
      <c r="K4" s="3" t="s">
        <v>40</v>
      </c>
      <c r="L4" s="3" t="s">
        <v>20</v>
      </c>
      <c r="M4" s="15">
        <f>AVERAGE(F6:F28)</f>
        <v>0.10577919151949482</v>
      </c>
    </row>
    <row r="5" spans="2:13" x14ac:dyDescent="0.3">
      <c r="B5">
        <v>2002</v>
      </c>
      <c r="C5" s="11">
        <v>988.58333333333314</v>
      </c>
      <c r="D5" s="11">
        <v>36.677249999999994</v>
      </c>
      <c r="E5" s="13">
        <f t="shared" si="0"/>
        <v>26.953583851933647</v>
      </c>
      <c r="F5" s="14" t="s">
        <v>39</v>
      </c>
      <c r="G5" s="14" t="s">
        <v>39</v>
      </c>
      <c r="H5" s="14" t="s">
        <v>39</v>
      </c>
      <c r="I5" s="14" t="s">
        <v>39</v>
      </c>
    </row>
    <row r="6" spans="2:13" x14ac:dyDescent="0.3">
      <c r="B6">
        <v>2003</v>
      </c>
      <c r="C6" s="11">
        <v>967.92500000000007</v>
      </c>
      <c r="D6" s="11">
        <v>25.855616666666666</v>
      </c>
      <c r="E6" s="13">
        <f t="shared" si="0"/>
        <v>37.435773142779425</v>
      </c>
      <c r="F6" s="2">
        <f>_xlfn.RRI(3,E3,E6)</f>
        <v>-0.10168553536527969</v>
      </c>
      <c r="G6" s="14" t="s">
        <v>39</v>
      </c>
      <c r="H6" s="14" t="s">
        <v>39</v>
      </c>
      <c r="I6" s="14" t="s">
        <v>39</v>
      </c>
      <c r="K6" s="3" t="s">
        <v>40</v>
      </c>
      <c r="L6" s="3" t="s">
        <v>16</v>
      </c>
      <c r="M6" s="15">
        <f>AVERAGE(G8:G28)</f>
        <v>8.7573006156985753E-2</v>
      </c>
    </row>
    <row r="7" spans="2:13" x14ac:dyDescent="0.3">
      <c r="B7">
        <v>2004</v>
      </c>
      <c r="C7" s="11">
        <v>1133.95</v>
      </c>
      <c r="D7" s="11">
        <v>20.246183333333331</v>
      </c>
      <c r="E7" s="13">
        <f t="shared" si="0"/>
        <v>56.008087120947081</v>
      </c>
      <c r="F7" s="2">
        <f t="shared" ref="F7:F28" si="1">_xlfn.RRI(3,E4,E7)</f>
        <v>0.20038958570658005</v>
      </c>
      <c r="G7" s="14" t="s">
        <v>39</v>
      </c>
      <c r="H7" s="14" t="s">
        <v>39</v>
      </c>
      <c r="I7" s="14" t="s">
        <v>39</v>
      </c>
    </row>
    <row r="8" spans="2:13" x14ac:dyDescent="0.3">
      <c r="B8">
        <v>2005</v>
      </c>
      <c r="C8" s="11">
        <v>1207.7666666666664</v>
      </c>
      <c r="D8" s="11">
        <v>18.606983333333336</v>
      </c>
      <c r="E8" s="13">
        <f t="shared" si="0"/>
        <v>64.909321679405295</v>
      </c>
      <c r="F8" s="2">
        <f t="shared" si="1"/>
        <v>0.34038692854735264</v>
      </c>
      <c r="G8" s="2">
        <f>_xlfn.RRI(5,E3,E8)</f>
        <v>4.6793671507490808E-2</v>
      </c>
      <c r="H8" s="14" t="s">
        <v>39</v>
      </c>
      <c r="I8" s="14" t="s">
        <v>39</v>
      </c>
      <c r="K8" s="3" t="s">
        <v>40</v>
      </c>
      <c r="L8" s="3" t="s">
        <v>15</v>
      </c>
      <c r="M8" s="15">
        <f>AVERAGE(H10:H28)</f>
        <v>7.2321775592617918E-2</v>
      </c>
    </row>
    <row r="9" spans="2:13" x14ac:dyDescent="0.3">
      <c r="B9">
        <v>2006</v>
      </c>
      <c r="C9" s="11">
        <v>1318.3</v>
      </c>
      <c r="D9" s="11">
        <v>17.173958333333335</v>
      </c>
      <c r="E9" s="13">
        <f t="shared" si="0"/>
        <v>76.761569721598832</v>
      </c>
      <c r="F9" s="2">
        <f t="shared" si="1"/>
        <v>0.27043469836863432</v>
      </c>
      <c r="G9" s="2">
        <f t="shared" ref="G9:G28" si="2">_xlfn.RRI(5,E4,E9)</f>
        <v>0.18842547506069107</v>
      </c>
      <c r="H9" s="14" t="s">
        <v>39</v>
      </c>
      <c r="I9" s="14" t="s">
        <v>39</v>
      </c>
    </row>
    <row r="10" spans="2:13" x14ac:dyDescent="0.3">
      <c r="B10">
        <v>2007</v>
      </c>
      <c r="C10" s="11">
        <v>1478.0999999999997</v>
      </c>
      <c r="D10" s="11">
        <v>19.096599999999999</v>
      </c>
      <c r="E10" s="13">
        <f t="shared" si="0"/>
        <v>77.401212781332788</v>
      </c>
      <c r="F10" s="2">
        <f t="shared" si="1"/>
        <v>0.11386444625051895</v>
      </c>
      <c r="G10" s="2">
        <f t="shared" si="2"/>
        <v>0.23488424370061289</v>
      </c>
      <c r="H10" s="2">
        <f>_xlfn.RRI(7,E3,E10)</f>
        <v>5.9513734849994337E-2</v>
      </c>
      <c r="I10" s="14" t="s">
        <v>39</v>
      </c>
      <c r="K10" s="3" t="s">
        <v>40</v>
      </c>
      <c r="L10" s="3" t="s">
        <v>28</v>
      </c>
      <c r="M10" s="15">
        <f>AVERAGE(I13:I28)</f>
        <v>8.3206426975188916E-2</v>
      </c>
    </row>
    <row r="11" spans="2:13" x14ac:dyDescent="0.3">
      <c r="B11">
        <v>2008</v>
      </c>
      <c r="C11" s="11">
        <v>1215.2166666666665</v>
      </c>
      <c r="D11" s="11">
        <v>34.402941666666671</v>
      </c>
      <c r="E11" s="13">
        <f t="shared" si="0"/>
        <v>35.323045291911804</v>
      </c>
      <c r="F11" s="2">
        <f t="shared" si="1"/>
        <v>-0.18357363219963008</v>
      </c>
      <c r="G11" s="2">
        <f t="shared" si="2"/>
        <v>-1.1551000240874187E-2</v>
      </c>
      <c r="H11" s="2">
        <f t="shared" ref="H11:H28" si="3">_xlfn.RRI(7,E4,E11)</f>
        <v>1.2502941384858524E-2</v>
      </c>
      <c r="I11" s="14" t="s">
        <v>39</v>
      </c>
    </row>
    <row r="12" spans="2:13" x14ac:dyDescent="0.3">
      <c r="B12">
        <v>2009</v>
      </c>
      <c r="C12" s="11">
        <v>948.51666666666688</v>
      </c>
      <c r="D12" s="11">
        <v>84.417541666666665</v>
      </c>
      <c r="E12" s="13">
        <f t="shared" si="0"/>
        <v>11.236013841909834</v>
      </c>
      <c r="F12" s="2">
        <f t="shared" si="1"/>
        <v>-0.47298520658195797</v>
      </c>
      <c r="G12" s="2">
        <f t="shared" si="2"/>
        <v>-0.27477577088214966</v>
      </c>
      <c r="H12" s="2">
        <f t="shared" si="3"/>
        <v>-0.11750210509326398</v>
      </c>
      <c r="I12" s="14" t="s">
        <v>39</v>
      </c>
    </row>
    <row r="13" spans="2:13" x14ac:dyDescent="0.3">
      <c r="B13">
        <v>2010</v>
      </c>
      <c r="C13" s="11">
        <v>1130.675</v>
      </c>
      <c r="D13" s="11">
        <v>16.404900000000001</v>
      </c>
      <c r="E13" s="13">
        <f t="shared" si="0"/>
        <v>68.923004712006772</v>
      </c>
      <c r="F13" s="2">
        <f t="shared" si="1"/>
        <v>-3.7932643765388185E-2</v>
      </c>
      <c r="G13" s="2">
        <f t="shared" si="2"/>
        <v>1.207203847694216E-2</v>
      </c>
      <c r="H13" s="2">
        <f t="shared" si="3"/>
        <v>9.1109154000568848E-2</v>
      </c>
      <c r="I13" s="2">
        <f>_xlfn.RRI(10,E3,E13)</f>
        <v>2.9286454291199027E-2</v>
      </c>
    </row>
    <row r="14" spans="2:13" x14ac:dyDescent="0.3">
      <c r="B14">
        <v>2011</v>
      </c>
      <c r="C14" s="11">
        <v>1280.7499999999998</v>
      </c>
      <c r="D14" s="11">
        <v>15.132291666666669</v>
      </c>
      <c r="E14" s="13">
        <f t="shared" si="0"/>
        <v>84.636883045363774</v>
      </c>
      <c r="F14" s="2">
        <f t="shared" si="1"/>
        <v>0.33813677923661767</v>
      </c>
      <c r="G14" s="2">
        <f t="shared" si="2"/>
        <v>1.9725225406587832E-2</v>
      </c>
      <c r="H14" s="2">
        <f t="shared" si="3"/>
        <v>6.0756154265619422E-2</v>
      </c>
      <c r="I14" s="2">
        <f t="shared" ref="I14:I27" si="4">_xlfn.RRI(10,E4,E14)</f>
        <v>0.10084850703227755</v>
      </c>
    </row>
    <row r="15" spans="2:13" x14ac:dyDescent="0.3">
      <c r="B15">
        <v>2012</v>
      </c>
      <c r="C15" s="11">
        <v>1386.5166666666667</v>
      </c>
      <c r="D15" s="11">
        <v>15.874433333333334</v>
      </c>
      <c r="E15" s="13">
        <f t="shared" si="0"/>
        <v>87.34275029239889</v>
      </c>
      <c r="F15" s="2">
        <f t="shared" si="1"/>
        <v>0.98094096228573258</v>
      </c>
      <c r="G15" s="2">
        <f t="shared" si="2"/>
        <v>2.4461918831616192E-2</v>
      </c>
      <c r="H15" s="2">
        <f t="shared" si="3"/>
        <v>4.3318992226199393E-2</v>
      </c>
      <c r="I15" s="2">
        <f t="shared" si="4"/>
        <v>0.12476303363706753</v>
      </c>
    </row>
    <row r="16" spans="2:13" x14ac:dyDescent="0.3">
      <c r="B16">
        <v>2013</v>
      </c>
      <c r="C16" s="11">
        <v>1652.291666666667</v>
      </c>
      <c r="D16" s="11">
        <v>17.69895</v>
      </c>
      <c r="E16" s="13">
        <f t="shared" si="0"/>
        <v>93.355349705302686</v>
      </c>
      <c r="F16" s="2">
        <f t="shared" si="1"/>
        <v>0.10643269993989812</v>
      </c>
      <c r="G16" s="2">
        <f t="shared" si="2"/>
        <v>0.21455228219768285</v>
      </c>
      <c r="H16" s="2">
        <f t="shared" si="3"/>
        <v>2.8352941617784122E-2</v>
      </c>
      <c r="I16" s="2">
        <f t="shared" si="4"/>
        <v>9.5683799503060607E-2</v>
      </c>
    </row>
    <row r="17" spans="2:9" x14ac:dyDescent="0.3">
      <c r="B17">
        <v>2014</v>
      </c>
      <c r="C17" s="11">
        <v>1944.4150000000002</v>
      </c>
      <c r="D17" s="11">
        <v>18.867533333333331</v>
      </c>
      <c r="E17" s="13">
        <f t="shared" si="0"/>
        <v>103.05613169713054</v>
      </c>
      <c r="F17" s="2">
        <f t="shared" si="1"/>
        <v>6.7836410843062245E-2</v>
      </c>
      <c r="G17" s="2">
        <f t="shared" si="2"/>
        <v>0.55773046729101838</v>
      </c>
      <c r="H17" s="2">
        <f t="shared" si="3"/>
        <v>4.174366305349908E-2</v>
      </c>
      <c r="I17" s="2">
        <f t="shared" si="4"/>
        <v>6.2875287752292008E-2</v>
      </c>
    </row>
    <row r="18" spans="2:9" x14ac:dyDescent="0.3">
      <c r="B18">
        <v>2015</v>
      </c>
      <c r="C18" s="11">
        <v>2051.9291666666663</v>
      </c>
      <c r="D18" s="11">
        <v>22.157266666666668</v>
      </c>
      <c r="E18" s="13">
        <f t="shared" si="0"/>
        <v>92.607504234878533</v>
      </c>
      <c r="F18" s="2">
        <f t="shared" si="1"/>
        <v>1.9701611603983205E-2</v>
      </c>
      <c r="G18" s="2">
        <f t="shared" si="2"/>
        <v>6.085589875181352E-2</v>
      </c>
      <c r="H18" s="2">
        <f t="shared" si="3"/>
        <v>0.14762048479115775</v>
      </c>
      <c r="I18" s="2">
        <f t="shared" si="4"/>
        <v>3.6176911526230038E-2</v>
      </c>
    </row>
    <row r="19" spans="2:9" x14ac:dyDescent="0.3">
      <c r="B19">
        <v>2016</v>
      </c>
      <c r="C19" s="11">
        <v>2105.8283333333334</v>
      </c>
      <c r="D19" s="11">
        <v>23.598866666666666</v>
      </c>
      <c r="E19" s="13">
        <f t="shared" si="0"/>
        <v>89.234299387258716</v>
      </c>
      <c r="F19" s="2">
        <f t="shared" si="1"/>
        <v>-1.493655574791608E-2</v>
      </c>
      <c r="G19" s="2">
        <f t="shared" si="2"/>
        <v>1.0635225515140956E-2</v>
      </c>
      <c r="H19" s="2">
        <f t="shared" si="3"/>
        <v>0.34449730518315547</v>
      </c>
      <c r="I19" s="2">
        <f t="shared" si="4"/>
        <v>1.5170051342269009E-2</v>
      </c>
    </row>
    <row r="20" spans="2:9" x14ac:dyDescent="0.3">
      <c r="B20">
        <v>2017</v>
      </c>
      <c r="C20" s="11">
        <v>2465.2000000000003</v>
      </c>
      <c r="D20" s="11">
        <v>23.399825000000003</v>
      </c>
      <c r="E20" s="13">
        <f t="shared" si="0"/>
        <v>105.35121523344725</v>
      </c>
      <c r="F20" s="2">
        <f t="shared" si="1"/>
        <v>7.368974127571537E-3</v>
      </c>
      <c r="G20" s="2">
        <f t="shared" si="2"/>
        <v>3.8203616321508038E-2</v>
      </c>
      <c r="H20" s="2">
        <f t="shared" si="3"/>
        <v>6.2490485334192991E-2</v>
      </c>
      <c r="I20" s="2">
        <f t="shared" si="4"/>
        <v>3.1309880159525738E-2</v>
      </c>
    </row>
    <row r="21" spans="2:9" x14ac:dyDescent="0.3">
      <c r="B21">
        <v>2018</v>
      </c>
      <c r="C21" s="11">
        <v>2738.3958333333335</v>
      </c>
      <c r="D21" s="11">
        <v>21.934625</v>
      </c>
      <c r="E21" s="13">
        <f t="shared" si="0"/>
        <v>124.84352175308825</v>
      </c>
      <c r="F21" s="2">
        <f t="shared" si="1"/>
        <v>0.10468878176508856</v>
      </c>
      <c r="G21" s="2">
        <f t="shared" si="2"/>
        <v>5.9852333235232758E-2</v>
      </c>
      <c r="H21" s="2">
        <f t="shared" si="3"/>
        <v>5.7097858194143702E-2</v>
      </c>
      <c r="I21" s="2">
        <f t="shared" si="4"/>
        <v>0.13456867140045392</v>
      </c>
    </row>
    <row r="22" spans="2:9" x14ac:dyDescent="0.3">
      <c r="B22">
        <v>2019</v>
      </c>
      <c r="C22" s="11">
        <v>2937.9616666666666</v>
      </c>
      <c r="D22" s="11">
        <v>21.673416666666668</v>
      </c>
      <c r="E22" s="13">
        <f t="shared" si="0"/>
        <v>135.55599986158157</v>
      </c>
      <c r="F22" s="2">
        <f t="shared" si="1"/>
        <v>0.14955293739322495</v>
      </c>
      <c r="G22" s="2">
        <f t="shared" si="2"/>
        <v>5.635278486144446E-2</v>
      </c>
      <c r="H22" s="2">
        <f t="shared" si="3"/>
        <v>6.4805458529598958E-2</v>
      </c>
      <c r="I22" s="2">
        <f t="shared" si="4"/>
        <v>0.2827754741911721</v>
      </c>
    </row>
    <row r="23" spans="2:9" x14ac:dyDescent="0.3">
      <c r="B23">
        <v>2020</v>
      </c>
      <c r="C23" s="11">
        <v>3216.9541666666664</v>
      </c>
      <c r="D23" s="11">
        <v>31.511316666666669</v>
      </c>
      <c r="E23" s="13">
        <f t="shared" si="0"/>
        <v>102.08885273491691</v>
      </c>
      <c r="F23" s="2">
        <f t="shared" si="1"/>
        <v>-1.0430598729736396E-2</v>
      </c>
      <c r="G23" s="2">
        <f t="shared" si="2"/>
        <v>1.9685934309158437E-2</v>
      </c>
      <c r="H23" s="2">
        <f t="shared" si="3"/>
        <v>1.2857724893106992E-2</v>
      </c>
      <c r="I23" s="2">
        <f t="shared" si="4"/>
        <v>4.0067227772380587E-2</v>
      </c>
    </row>
    <row r="24" spans="2:9" x14ac:dyDescent="0.3">
      <c r="B24">
        <v>2021</v>
      </c>
      <c r="C24" s="11">
        <v>4278.7583333333332</v>
      </c>
      <c r="D24" s="11">
        <v>26.286208333333335</v>
      </c>
      <c r="E24" s="13">
        <f t="shared" si="0"/>
        <v>162.77579021952258</v>
      </c>
      <c r="F24" s="2">
        <f t="shared" si="1"/>
        <v>9.246601018941325E-2</v>
      </c>
      <c r="G24" s="2">
        <f t="shared" si="2"/>
        <v>0.1277467880142753</v>
      </c>
      <c r="H24" s="2">
        <f t="shared" si="3"/>
        <v>6.7479208843303384E-2</v>
      </c>
      <c r="I24" s="2">
        <f t="shared" si="4"/>
        <v>6.7586356895208199E-2</v>
      </c>
    </row>
    <row r="25" spans="2:9" x14ac:dyDescent="0.3">
      <c r="B25">
        <v>2022</v>
      </c>
      <c r="C25" s="11">
        <v>4077.6550000000011</v>
      </c>
      <c r="D25" s="11">
        <v>21.760316666666668</v>
      </c>
      <c r="E25" s="13">
        <f t="shared" si="0"/>
        <v>187.38950643334698</v>
      </c>
      <c r="F25" s="2">
        <f t="shared" si="1"/>
        <v>0.11397516183294432</v>
      </c>
      <c r="G25" s="2">
        <f t="shared" si="2"/>
        <v>0.12207308088696234</v>
      </c>
      <c r="H25" s="2">
        <f t="shared" si="3"/>
        <v>0.10593204207883011</v>
      </c>
      <c r="I25" s="2">
        <f t="shared" si="4"/>
        <v>7.9324015462391317E-2</v>
      </c>
    </row>
    <row r="26" spans="2:9" x14ac:dyDescent="0.3">
      <c r="B26">
        <v>2023</v>
      </c>
      <c r="C26" s="11">
        <v>4322.6541666666681</v>
      </c>
      <c r="D26" s="11">
        <v>23.587724999999995</v>
      </c>
      <c r="E26" s="13">
        <f t="shared" si="0"/>
        <v>183.25862993004492</v>
      </c>
      <c r="F26" s="2">
        <f t="shared" si="1"/>
        <v>0.21533322448329417</v>
      </c>
      <c r="G26" s="2">
        <f t="shared" si="2"/>
        <v>7.9790953961827116E-2</v>
      </c>
      <c r="H26" s="2">
        <f t="shared" si="3"/>
        <v>0.10827494903917989</v>
      </c>
      <c r="I26" s="2">
        <f t="shared" si="4"/>
        <v>6.9775192254307283E-2</v>
      </c>
    </row>
    <row r="27" spans="2:9" x14ac:dyDescent="0.3">
      <c r="B27">
        <v>2024</v>
      </c>
      <c r="C27" s="11">
        <v>5460.2158333333327</v>
      </c>
      <c r="D27" s="11">
        <v>27.357691666666664</v>
      </c>
      <c r="E27" s="13">
        <f t="shared" si="0"/>
        <v>199.5861310179983</v>
      </c>
      <c r="F27" s="2">
        <f t="shared" si="1"/>
        <v>7.0319691837396281E-2</v>
      </c>
      <c r="G27" s="2">
        <f t="shared" si="2"/>
        <v>8.0444151415866916E-2</v>
      </c>
      <c r="H27" s="2">
        <f t="shared" si="3"/>
        <v>9.5573564015754009E-2</v>
      </c>
      <c r="I27" s="2">
        <f t="shared" si="4"/>
        <v>6.8330561313028726E-2</v>
      </c>
    </row>
    <row r="28" spans="2:9" x14ac:dyDescent="0.3">
      <c r="B28">
        <v>2025</v>
      </c>
      <c r="C28" s="11">
        <v>6276.2991666666667</v>
      </c>
      <c r="D28" s="11">
        <v>27.912836363636362</v>
      </c>
      <c r="E28" s="13">
        <f t="shared" si="0"/>
        <v>224.85350771601119</v>
      </c>
      <c r="F28" s="2">
        <f t="shared" si="1"/>
        <v>6.26366729269765E-2</v>
      </c>
      <c r="G28" s="2">
        <f t="shared" si="2"/>
        <v>0.17107381067385252</v>
      </c>
      <c r="H28" s="2">
        <f t="shared" si="3"/>
        <v>8.7689179052057531E-2</v>
      </c>
      <c r="I28" s="2">
        <f>_xlfn.RRI(10,E18,E28)</f>
        <v>9.2761407070159008E-2</v>
      </c>
    </row>
    <row r="31" spans="2:9" x14ac:dyDescent="0.3">
      <c r="B31" s="4" t="s">
        <v>71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38309-6449-4504-891B-E98666FD7272}">
  <dimension ref="B2:N317"/>
  <sheetViews>
    <sheetView showGridLines="0" zoomScaleNormal="100" workbookViewId="0">
      <selection activeCell="N7" sqref="A1:XFD1048576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8" bestFit="1" customWidth="1"/>
    <col min="4" max="4" width="15.77734375" bestFit="1" customWidth="1"/>
    <col min="5" max="6" width="8" bestFit="1" customWidth="1"/>
    <col min="7" max="7" width="4.21875" bestFit="1" customWidth="1"/>
    <col min="9" max="9" width="15.109375" customWidth="1"/>
    <col min="10" max="10" width="14.88671875" bestFit="1" customWidth="1"/>
    <col min="11" max="11" width="12.6640625" bestFit="1" customWidth="1"/>
    <col min="12" max="12" width="19.44140625" bestFit="1" customWidth="1"/>
  </cols>
  <sheetData>
    <row r="2" spans="2:14" x14ac:dyDescent="0.3">
      <c r="B2" s="3" t="s">
        <v>8</v>
      </c>
      <c r="C2" s="3" t="s">
        <v>23</v>
      </c>
      <c r="D2" s="3" t="s">
        <v>24</v>
      </c>
      <c r="H2" s="3" t="s">
        <v>10</v>
      </c>
      <c r="I2" s="3" t="s">
        <v>25</v>
      </c>
      <c r="J2" s="3" t="s">
        <v>26</v>
      </c>
    </row>
    <row r="3" spans="2:14" x14ac:dyDescent="0.3">
      <c r="B3" s="7">
        <v>36526</v>
      </c>
      <c r="C3" s="11">
        <v>1394.5</v>
      </c>
      <c r="D3" s="2"/>
      <c r="E3" s="8"/>
      <c r="F3" s="8"/>
      <c r="H3">
        <v>2000</v>
      </c>
      <c r="I3" s="11">
        <f>AVERAGEIFS($C$3:$C$314,$B$3:$B$314,"&gt;="&amp;DATE(H3,1,1),$B$3:$B$314,"&lt;="&amp;DATE(H3,12,31))</f>
        <v>1419.7333333333333</v>
      </c>
      <c r="J3" s="6"/>
    </row>
    <row r="4" spans="2:14" x14ac:dyDescent="0.3">
      <c r="B4" s="7">
        <v>36557</v>
      </c>
      <c r="C4" s="11">
        <v>1366.4</v>
      </c>
      <c r="D4" s="2">
        <f t="shared" ref="D4:D67" si="0">C4/C3-1</f>
        <v>-2.0150591609895963E-2</v>
      </c>
      <c r="E4" s="8"/>
      <c r="F4" s="8"/>
      <c r="H4">
        <f>H3+1</f>
        <v>2001</v>
      </c>
      <c r="I4" s="11">
        <f t="shared" ref="I4:I28" si="1">AVERAGEIFS($C$3:$C$314,$B$3:$B$314,"&gt;="&amp;DATE(H4,1,1),$B$3:$B$314,"&lt;="&amp;DATE(H4,12,31))</f>
        <v>1185.75</v>
      </c>
      <c r="J4" s="2">
        <f>I4/I3-1</f>
        <v>-0.16480794515401953</v>
      </c>
    </row>
    <row r="5" spans="2:14" x14ac:dyDescent="0.3">
      <c r="B5" s="7">
        <v>36586</v>
      </c>
      <c r="C5" s="11">
        <v>1498.6</v>
      </c>
      <c r="D5" s="2">
        <f t="shared" si="0"/>
        <v>9.6750585480093632E-2</v>
      </c>
      <c r="E5" s="8"/>
      <c r="F5" s="8"/>
      <c r="H5">
        <f t="shared" ref="H5:H28" si="2">H4+1</f>
        <v>2002</v>
      </c>
      <c r="I5" s="11">
        <f t="shared" si="1"/>
        <v>988.58333333333314</v>
      </c>
      <c r="J5" s="2">
        <f t="shared" ref="J5:J28" si="3">I5/I4-1</f>
        <v>-0.16628013212453452</v>
      </c>
      <c r="L5" s="3" t="s">
        <v>27</v>
      </c>
      <c r="M5" s="3" t="s">
        <v>13</v>
      </c>
      <c r="N5" s="12">
        <f>_xlfn.RRI(20,I9,I28)</f>
        <v>8.114630709867332E-2</v>
      </c>
    </row>
    <row r="6" spans="2:14" x14ac:dyDescent="0.3">
      <c r="B6" s="7">
        <v>36617</v>
      </c>
      <c r="C6" s="11">
        <v>1452.4</v>
      </c>
      <c r="D6" s="2">
        <f t="shared" si="0"/>
        <v>-3.0828773521953678E-2</v>
      </c>
      <c r="E6" s="8"/>
      <c r="F6" s="8"/>
      <c r="H6">
        <f t="shared" si="2"/>
        <v>2003</v>
      </c>
      <c r="I6" s="11">
        <f t="shared" si="1"/>
        <v>967.92500000000007</v>
      </c>
      <c r="J6" s="2">
        <f t="shared" si="3"/>
        <v>-2.0896906347466659E-2</v>
      </c>
    </row>
    <row r="7" spans="2:14" x14ac:dyDescent="0.3">
      <c r="B7" s="7">
        <v>36647</v>
      </c>
      <c r="C7" s="11">
        <v>1420.6</v>
      </c>
      <c r="D7" s="2">
        <f t="shared" si="0"/>
        <v>-2.1894794822363117E-2</v>
      </c>
      <c r="E7" s="8"/>
      <c r="F7" s="8"/>
      <c r="H7">
        <f t="shared" si="2"/>
        <v>2004</v>
      </c>
      <c r="I7" s="11">
        <f t="shared" si="1"/>
        <v>1133.95</v>
      </c>
      <c r="J7" s="2">
        <f t="shared" si="3"/>
        <v>0.17152671952888898</v>
      </c>
      <c r="L7" s="3" t="s">
        <v>27</v>
      </c>
      <c r="M7" s="3" t="s">
        <v>14</v>
      </c>
      <c r="N7" s="12">
        <f>_xlfn.RRI(15,I14,I28)</f>
        <v>0.11177256150040416</v>
      </c>
    </row>
    <row r="8" spans="2:14" x14ac:dyDescent="0.3">
      <c r="B8" s="7">
        <v>36678</v>
      </c>
      <c r="C8" s="11">
        <v>1454.6</v>
      </c>
      <c r="D8" s="2">
        <f t="shared" si="0"/>
        <v>2.3933549204561366E-2</v>
      </c>
      <c r="E8" s="8"/>
      <c r="F8" s="8"/>
      <c r="H8">
        <f t="shared" si="2"/>
        <v>2005</v>
      </c>
      <c r="I8" s="11">
        <f t="shared" si="1"/>
        <v>1207.7666666666664</v>
      </c>
      <c r="J8" s="2">
        <f t="shared" si="3"/>
        <v>6.5096932551405695E-2</v>
      </c>
    </row>
    <row r="9" spans="2:14" x14ac:dyDescent="0.3">
      <c r="B9" s="7">
        <v>36708</v>
      </c>
      <c r="C9" s="11">
        <v>1430.8</v>
      </c>
      <c r="D9" s="2">
        <f t="shared" si="0"/>
        <v>-1.6361886429258843E-2</v>
      </c>
      <c r="E9" s="8"/>
      <c r="F9" s="8"/>
      <c r="H9">
        <f t="shared" si="2"/>
        <v>2006</v>
      </c>
      <c r="I9" s="11">
        <f t="shared" si="1"/>
        <v>1318.3</v>
      </c>
      <c r="J9" s="2">
        <f t="shared" si="3"/>
        <v>9.1518781221538559E-2</v>
      </c>
      <c r="L9" s="3" t="s">
        <v>27</v>
      </c>
      <c r="M9" s="3" t="s">
        <v>28</v>
      </c>
      <c r="N9" s="12">
        <f>_xlfn.RRI(10,I19,I28)</f>
        <v>0.11539339184515196</v>
      </c>
    </row>
    <row r="10" spans="2:14" x14ac:dyDescent="0.3">
      <c r="B10" s="7">
        <v>36739</v>
      </c>
      <c r="C10" s="11">
        <v>1517.7</v>
      </c>
      <c r="D10" s="2">
        <f t="shared" si="0"/>
        <v>6.0735253005311796E-2</v>
      </c>
      <c r="E10" s="8"/>
      <c r="F10" s="8"/>
      <c r="H10">
        <f t="shared" si="2"/>
        <v>2007</v>
      </c>
      <c r="I10" s="11">
        <f t="shared" si="1"/>
        <v>1478.0999999999997</v>
      </c>
      <c r="J10" s="2">
        <f t="shared" si="3"/>
        <v>0.12121671850109972</v>
      </c>
    </row>
    <row r="11" spans="2:14" x14ac:dyDescent="0.3">
      <c r="B11" s="7">
        <v>36770</v>
      </c>
      <c r="C11" s="11">
        <v>1436.5</v>
      </c>
      <c r="D11" s="2">
        <f t="shared" si="0"/>
        <v>-5.3502009619819546E-2</v>
      </c>
      <c r="E11" s="8"/>
      <c r="F11" s="8"/>
      <c r="H11">
        <f t="shared" si="2"/>
        <v>2008</v>
      </c>
      <c r="I11" s="11">
        <f t="shared" si="1"/>
        <v>1215.2166666666665</v>
      </c>
      <c r="J11" s="2">
        <f t="shared" si="3"/>
        <v>-0.17785219764111582</v>
      </c>
      <c r="L11" s="3" t="s">
        <v>27</v>
      </c>
      <c r="M11" s="3" t="s">
        <v>29</v>
      </c>
      <c r="N11" s="12">
        <f>_xlfn.RRI(7,I22,I28)</f>
        <v>0.11453556186656</v>
      </c>
    </row>
    <row r="12" spans="2:14" x14ac:dyDescent="0.3">
      <c r="B12" s="7">
        <v>36800</v>
      </c>
      <c r="C12" s="11">
        <v>1429.4</v>
      </c>
      <c r="D12" s="2">
        <f t="shared" si="0"/>
        <v>-4.942568743473652E-3</v>
      </c>
      <c r="E12" s="8"/>
      <c r="F12" s="8"/>
      <c r="H12">
        <f t="shared" si="2"/>
        <v>2009</v>
      </c>
      <c r="I12" s="11">
        <f t="shared" si="1"/>
        <v>948.51666666666688</v>
      </c>
      <c r="J12" s="2">
        <f t="shared" si="3"/>
        <v>-0.21946703605666995</v>
      </c>
    </row>
    <row r="13" spans="2:14" x14ac:dyDescent="0.3">
      <c r="B13" s="7">
        <v>36831</v>
      </c>
      <c r="C13" s="11">
        <v>1315</v>
      </c>
      <c r="D13" s="2">
        <f t="shared" si="0"/>
        <v>-8.0033580523296566E-2</v>
      </c>
      <c r="E13" s="8"/>
      <c r="F13" s="8"/>
      <c r="H13">
        <f t="shared" si="2"/>
        <v>2010</v>
      </c>
      <c r="I13" s="11">
        <f t="shared" si="1"/>
        <v>1130.675</v>
      </c>
      <c r="J13" s="2">
        <f t="shared" si="3"/>
        <v>0.19204547451283549</v>
      </c>
      <c r="L13" s="3" t="s">
        <v>27</v>
      </c>
      <c r="M13" s="3" t="s">
        <v>16</v>
      </c>
      <c r="N13" s="12">
        <f>_xlfn.RRI(5,I24,I28)</f>
        <v>7.9635548104315834E-2</v>
      </c>
    </row>
    <row r="14" spans="2:14" x14ac:dyDescent="0.3">
      <c r="B14" s="7">
        <v>36861</v>
      </c>
      <c r="C14" s="11">
        <v>1320.3</v>
      </c>
      <c r="D14" s="2">
        <f t="shared" si="0"/>
        <v>4.0304182509505182E-3</v>
      </c>
      <c r="E14" s="8"/>
      <c r="F14" s="8"/>
      <c r="H14">
        <f t="shared" si="2"/>
        <v>2011</v>
      </c>
      <c r="I14" s="11">
        <f t="shared" si="1"/>
        <v>1280.7499999999998</v>
      </c>
      <c r="J14" s="2">
        <f t="shared" si="3"/>
        <v>0.13273044862582073</v>
      </c>
    </row>
    <row r="15" spans="2:14" x14ac:dyDescent="0.3">
      <c r="B15" s="7">
        <v>36892</v>
      </c>
      <c r="C15" s="11">
        <v>1366</v>
      </c>
      <c r="D15" s="2">
        <f t="shared" si="0"/>
        <v>3.46133454517914E-2</v>
      </c>
      <c r="E15" s="8"/>
      <c r="F15" s="8"/>
      <c r="H15">
        <f t="shared" si="2"/>
        <v>2012</v>
      </c>
      <c r="I15" s="11">
        <f t="shared" si="1"/>
        <v>1386.5166666666667</v>
      </c>
      <c r="J15" s="2">
        <f t="shared" si="3"/>
        <v>8.2581820547856344E-2</v>
      </c>
    </row>
    <row r="16" spans="2:14" x14ac:dyDescent="0.3">
      <c r="B16" s="7">
        <v>36923</v>
      </c>
      <c r="C16" s="11">
        <v>1239.9000000000001</v>
      </c>
      <c r="D16" s="2">
        <f t="shared" si="0"/>
        <v>-9.2313323572474348E-2</v>
      </c>
      <c r="E16" s="8"/>
      <c r="F16" s="8"/>
      <c r="H16">
        <f t="shared" si="2"/>
        <v>2013</v>
      </c>
      <c r="I16" s="11">
        <f t="shared" si="1"/>
        <v>1652.291666666667</v>
      </c>
      <c r="J16" s="2">
        <f t="shared" si="3"/>
        <v>0.19168539866091305</v>
      </c>
    </row>
    <row r="17" spans="2:10" x14ac:dyDescent="0.3">
      <c r="B17" s="7">
        <v>36951</v>
      </c>
      <c r="C17" s="11">
        <v>1160.3</v>
      </c>
      <c r="D17" s="2">
        <f t="shared" si="0"/>
        <v>-6.4198725703685899E-2</v>
      </c>
      <c r="E17" s="8"/>
      <c r="F17" s="8"/>
      <c r="H17">
        <f t="shared" si="2"/>
        <v>2014</v>
      </c>
      <c r="I17" s="11">
        <f t="shared" si="1"/>
        <v>1944.4150000000002</v>
      </c>
      <c r="J17" s="2">
        <f t="shared" si="3"/>
        <v>0.17679889042995822</v>
      </c>
    </row>
    <row r="18" spans="2:10" x14ac:dyDescent="0.3">
      <c r="B18" s="7">
        <v>36982</v>
      </c>
      <c r="C18" s="11">
        <v>1249.5</v>
      </c>
      <c r="D18" s="2">
        <f t="shared" si="0"/>
        <v>7.6876669826768884E-2</v>
      </c>
      <c r="E18" s="8"/>
      <c r="F18" s="8"/>
      <c r="H18">
        <f t="shared" si="2"/>
        <v>2015</v>
      </c>
      <c r="I18" s="11">
        <f t="shared" si="1"/>
        <v>2051.9291666666663</v>
      </c>
      <c r="J18" s="2">
        <f t="shared" si="3"/>
        <v>5.5293837306678917E-2</v>
      </c>
    </row>
    <row r="19" spans="2:10" x14ac:dyDescent="0.3">
      <c r="B19" s="7">
        <v>37012</v>
      </c>
      <c r="C19" s="11">
        <v>1255.8</v>
      </c>
      <c r="D19" s="2">
        <f t="shared" si="0"/>
        <v>5.0420168067226712E-3</v>
      </c>
      <c r="E19" s="8"/>
      <c r="F19" s="8"/>
      <c r="H19">
        <f t="shared" si="2"/>
        <v>2016</v>
      </c>
      <c r="I19" s="11">
        <f t="shared" si="1"/>
        <v>2105.8283333333334</v>
      </c>
      <c r="J19" s="2">
        <f t="shared" si="3"/>
        <v>2.6267557156578469E-2</v>
      </c>
    </row>
    <row r="20" spans="2:10" x14ac:dyDescent="0.3">
      <c r="B20" s="7">
        <v>37043</v>
      </c>
      <c r="C20" s="11">
        <v>1224.4000000000001</v>
      </c>
      <c r="D20" s="2">
        <f t="shared" si="0"/>
        <v>-2.5003981525720587E-2</v>
      </c>
      <c r="E20" s="8"/>
      <c r="F20" s="8"/>
      <c r="H20">
        <f t="shared" si="2"/>
        <v>2017</v>
      </c>
      <c r="I20" s="11">
        <f t="shared" si="1"/>
        <v>2465.2000000000003</v>
      </c>
      <c r="J20" s="2">
        <f t="shared" si="3"/>
        <v>0.17065572771443072</v>
      </c>
    </row>
    <row r="21" spans="2:10" x14ac:dyDescent="0.3">
      <c r="B21" s="7">
        <v>37073</v>
      </c>
      <c r="C21" s="11">
        <v>1211.2</v>
      </c>
      <c r="D21" s="2">
        <f t="shared" si="0"/>
        <v>-1.0780790591310097E-2</v>
      </c>
      <c r="E21" s="8"/>
      <c r="F21" s="8"/>
      <c r="H21">
        <f t="shared" si="2"/>
        <v>2018</v>
      </c>
      <c r="I21" s="11">
        <f t="shared" si="1"/>
        <v>2738.3958333333335</v>
      </c>
      <c r="J21" s="2">
        <f t="shared" si="3"/>
        <v>0.11082096111201256</v>
      </c>
    </row>
    <row r="22" spans="2:10" x14ac:dyDescent="0.3">
      <c r="B22" s="7">
        <v>37104</v>
      </c>
      <c r="C22" s="11">
        <v>1133.5999999999999</v>
      </c>
      <c r="D22" s="2">
        <f t="shared" si="0"/>
        <v>-6.4068692206076694E-2</v>
      </c>
      <c r="E22" s="8"/>
      <c r="F22" s="8"/>
      <c r="H22">
        <f t="shared" si="2"/>
        <v>2019</v>
      </c>
      <c r="I22" s="11">
        <f t="shared" si="1"/>
        <v>2937.9616666666666</v>
      </c>
      <c r="J22" s="2">
        <f t="shared" si="3"/>
        <v>7.2876912425918317E-2</v>
      </c>
    </row>
    <row r="23" spans="2:10" x14ac:dyDescent="0.3">
      <c r="B23" s="7">
        <v>37135</v>
      </c>
      <c r="C23" s="11">
        <v>1040.9000000000001</v>
      </c>
      <c r="D23" s="2">
        <f t="shared" si="0"/>
        <v>-8.1774876499646987E-2</v>
      </c>
      <c r="E23" s="8"/>
      <c r="F23" s="8"/>
      <c r="H23">
        <f t="shared" si="2"/>
        <v>2020</v>
      </c>
      <c r="I23" s="11">
        <f t="shared" si="1"/>
        <v>3216.9541666666664</v>
      </c>
      <c r="J23" s="2">
        <f t="shared" si="3"/>
        <v>9.4961245807041905E-2</v>
      </c>
    </row>
    <row r="24" spans="2:10" x14ac:dyDescent="0.3">
      <c r="B24" s="7">
        <v>37165</v>
      </c>
      <c r="C24" s="11">
        <v>1059.8</v>
      </c>
      <c r="D24" s="2">
        <f t="shared" si="0"/>
        <v>1.8157363819771177E-2</v>
      </c>
      <c r="E24" s="8"/>
      <c r="F24" s="8"/>
      <c r="H24">
        <f t="shared" si="2"/>
        <v>2021</v>
      </c>
      <c r="I24" s="11">
        <f t="shared" si="1"/>
        <v>4278.7583333333332</v>
      </c>
      <c r="J24" s="2">
        <f t="shared" si="3"/>
        <v>0.3300650589519849</v>
      </c>
    </row>
    <row r="25" spans="2:10" x14ac:dyDescent="0.3">
      <c r="B25" s="7">
        <v>37196</v>
      </c>
      <c r="C25" s="11">
        <v>1139.5</v>
      </c>
      <c r="D25" s="2">
        <f t="shared" si="0"/>
        <v>7.5202868465748196E-2</v>
      </c>
      <c r="E25" s="8"/>
      <c r="F25" s="8"/>
      <c r="H25">
        <f t="shared" si="2"/>
        <v>2022</v>
      </c>
      <c r="I25" s="11">
        <f t="shared" si="1"/>
        <v>4077.6550000000011</v>
      </c>
      <c r="J25" s="2">
        <f t="shared" si="3"/>
        <v>-4.7000395363919534E-2</v>
      </c>
    </row>
    <row r="26" spans="2:10" x14ac:dyDescent="0.3">
      <c r="B26" s="7">
        <v>37226</v>
      </c>
      <c r="C26" s="11">
        <v>1148.0999999999999</v>
      </c>
      <c r="D26" s="2">
        <f t="shared" si="0"/>
        <v>7.547169811320753E-3</v>
      </c>
      <c r="E26" s="8"/>
      <c r="F26" s="8"/>
      <c r="H26">
        <f t="shared" si="2"/>
        <v>2023</v>
      </c>
      <c r="I26" s="11">
        <f t="shared" si="1"/>
        <v>4322.6541666666681</v>
      </c>
      <c r="J26" s="2">
        <f t="shared" si="3"/>
        <v>6.0083348558587435E-2</v>
      </c>
    </row>
    <row r="27" spans="2:10" x14ac:dyDescent="0.3">
      <c r="B27" s="7">
        <v>37257</v>
      </c>
      <c r="C27" s="11">
        <v>1130.2</v>
      </c>
      <c r="D27" s="2">
        <f t="shared" si="0"/>
        <v>-1.5590976395784217E-2</v>
      </c>
      <c r="E27" s="8"/>
      <c r="F27" s="8"/>
      <c r="H27">
        <f t="shared" si="2"/>
        <v>2024</v>
      </c>
      <c r="I27" s="11">
        <f t="shared" si="1"/>
        <v>5460.2158333333327</v>
      </c>
      <c r="J27" s="2">
        <f t="shared" si="3"/>
        <v>0.26316277518538422</v>
      </c>
    </row>
    <row r="28" spans="2:10" x14ac:dyDescent="0.3">
      <c r="B28" s="7">
        <v>37288</v>
      </c>
      <c r="C28" s="11">
        <v>1106.7</v>
      </c>
      <c r="D28" s="2">
        <f t="shared" si="0"/>
        <v>-2.0792780038931147E-2</v>
      </c>
      <c r="E28" s="8"/>
      <c r="F28" s="8"/>
      <c r="H28">
        <f t="shared" si="2"/>
        <v>2025</v>
      </c>
      <c r="I28" s="11">
        <f t="shared" si="1"/>
        <v>6276.2991666666667</v>
      </c>
      <c r="J28" s="2">
        <f t="shared" si="3"/>
        <v>0.1494599038285882</v>
      </c>
    </row>
    <row r="29" spans="2:10" x14ac:dyDescent="0.3">
      <c r="B29" s="7">
        <v>37316</v>
      </c>
      <c r="C29" s="11">
        <v>1147.4000000000001</v>
      </c>
      <c r="D29" s="2">
        <f t="shared" si="0"/>
        <v>3.6776000722869906E-2</v>
      </c>
      <c r="E29" s="8"/>
      <c r="F29" s="8"/>
    </row>
    <row r="30" spans="2:10" x14ac:dyDescent="0.3">
      <c r="B30" s="7">
        <v>37347</v>
      </c>
      <c r="C30" s="11">
        <v>1076.9000000000001</v>
      </c>
      <c r="D30" s="2">
        <f t="shared" si="0"/>
        <v>-6.1443263029457906E-2</v>
      </c>
      <c r="E30" s="8"/>
      <c r="F30" s="8"/>
    </row>
    <row r="31" spans="2:10" x14ac:dyDescent="0.3">
      <c r="B31" s="7">
        <v>37377</v>
      </c>
      <c r="C31" s="11">
        <v>1067.0999999999999</v>
      </c>
      <c r="D31" s="2">
        <f t="shared" si="0"/>
        <v>-9.1001950041788016E-3</v>
      </c>
      <c r="E31" s="8"/>
      <c r="F31" s="8"/>
      <c r="I31" s="10"/>
    </row>
    <row r="32" spans="2:10" x14ac:dyDescent="0.3">
      <c r="B32" s="7">
        <v>37408</v>
      </c>
      <c r="C32" s="11">
        <v>989.8</v>
      </c>
      <c r="D32" s="2">
        <f t="shared" si="0"/>
        <v>-7.2439321525630151E-2</v>
      </c>
      <c r="E32" s="8"/>
      <c r="F32" s="8"/>
    </row>
    <row r="33" spans="2:6" x14ac:dyDescent="0.3">
      <c r="B33" s="7">
        <v>37438</v>
      </c>
      <c r="C33" s="11">
        <v>911.6</v>
      </c>
      <c r="D33" s="2">
        <f t="shared" si="0"/>
        <v>-7.9005859769650355E-2</v>
      </c>
      <c r="E33" s="8"/>
      <c r="F33" s="8"/>
    </row>
    <row r="34" spans="2:6" x14ac:dyDescent="0.3">
      <c r="B34" s="7">
        <v>37469</v>
      </c>
      <c r="C34" s="11">
        <v>916.1</v>
      </c>
      <c r="D34" s="2">
        <f t="shared" si="0"/>
        <v>4.9363756033347084E-3</v>
      </c>
      <c r="E34" s="8"/>
      <c r="F34" s="8"/>
    </row>
    <row r="35" spans="2:6" x14ac:dyDescent="0.3">
      <c r="B35" s="7">
        <v>37500</v>
      </c>
      <c r="C35" s="11">
        <v>815.3</v>
      </c>
      <c r="D35" s="2">
        <f t="shared" si="0"/>
        <v>-0.11003165593275854</v>
      </c>
      <c r="E35" s="8"/>
      <c r="F35" s="8"/>
    </row>
    <row r="36" spans="2:6" x14ac:dyDescent="0.3">
      <c r="B36" s="7">
        <v>37530</v>
      </c>
      <c r="C36" s="11">
        <v>885.8</v>
      </c>
      <c r="D36" s="2">
        <f t="shared" si="0"/>
        <v>8.6471237581258409E-2</v>
      </c>
      <c r="E36" s="8"/>
      <c r="F36" s="8"/>
    </row>
    <row r="37" spans="2:6" x14ac:dyDescent="0.3">
      <c r="B37" s="7">
        <v>37561</v>
      </c>
      <c r="C37" s="11">
        <v>936.3</v>
      </c>
      <c r="D37" s="2">
        <f t="shared" si="0"/>
        <v>5.7010611876270101E-2</v>
      </c>
      <c r="E37" s="8"/>
      <c r="F37" s="8"/>
    </row>
    <row r="38" spans="2:6" x14ac:dyDescent="0.3">
      <c r="B38" s="7">
        <v>37591</v>
      </c>
      <c r="C38" s="11">
        <v>879.8</v>
      </c>
      <c r="D38" s="2">
        <f t="shared" si="0"/>
        <v>-6.0343906867457053E-2</v>
      </c>
      <c r="E38" s="8"/>
      <c r="F38" s="8"/>
    </row>
    <row r="39" spans="2:6" x14ac:dyDescent="0.3">
      <c r="B39" s="7">
        <v>37622</v>
      </c>
      <c r="C39" s="11">
        <v>855.7</v>
      </c>
      <c r="D39" s="2">
        <f t="shared" si="0"/>
        <v>-2.7392589224823682E-2</v>
      </c>
      <c r="E39" s="8"/>
      <c r="F39" s="8"/>
    </row>
    <row r="40" spans="2:6" x14ac:dyDescent="0.3">
      <c r="B40" s="7">
        <v>37653</v>
      </c>
      <c r="C40" s="11">
        <v>841.1</v>
      </c>
      <c r="D40" s="2">
        <f t="shared" si="0"/>
        <v>-1.7062054458338194E-2</v>
      </c>
      <c r="E40" s="8"/>
      <c r="F40" s="8"/>
    </row>
    <row r="41" spans="2:6" x14ac:dyDescent="0.3">
      <c r="B41" s="7">
        <v>37681</v>
      </c>
      <c r="C41" s="11">
        <v>848.2</v>
      </c>
      <c r="D41" s="2">
        <f t="shared" si="0"/>
        <v>8.4413268339080805E-3</v>
      </c>
      <c r="E41" s="8"/>
      <c r="F41" s="8"/>
    </row>
    <row r="42" spans="2:6" x14ac:dyDescent="0.3">
      <c r="B42" s="7">
        <v>37712</v>
      </c>
      <c r="C42" s="11">
        <v>916.9</v>
      </c>
      <c r="D42" s="2">
        <f t="shared" si="0"/>
        <v>8.0995048337656028E-2</v>
      </c>
      <c r="E42" s="8"/>
      <c r="F42" s="8"/>
    </row>
    <row r="43" spans="2:6" x14ac:dyDescent="0.3">
      <c r="B43" s="7">
        <v>37742</v>
      </c>
      <c r="C43" s="11">
        <v>963.6</v>
      </c>
      <c r="D43" s="2">
        <f t="shared" si="0"/>
        <v>5.0932489911658996E-2</v>
      </c>
      <c r="E43" s="8"/>
      <c r="F43" s="8"/>
    </row>
    <row r="44" spans="2:6" x14ac:dyDescent="0.3">
      <c r="B44" s="7">
        <v>37773</v>
      </c>
      <c r="C44" s="11">
        <v>974.5</v>
      </c>
      <c r="D44" s="2">
        <f t="shared" si="0"/>
        <v>1.1311747613117484E-2</v>
      </c>
      <c r="E44" s="8"/>
      <c r="F44" s="8"/>
    </row>
    <row r="45" spans="2:6" x14ac:dyDescent="0.3">
      <c r="B45" s="7">
        <v>37803</v>
      </c>
      <c r="C45" s="11">
        <v>990.3</v>
      </c>
      <c r="D45" s="2">
        <f t="shared" si="0"/>
        <v>1.621344279117487E-2</v>
      </c>
      <c r="E45" s="8"/>
      <c r="F45" s="8"/>
    </row>
    <row r="46" spans="2:6" x14ac:dyDescent="0.3">
      <c r="B46" s="7">
        <v>37834</v>
      </c>
      <c r="C46" s="11">
        <v>1008</v>
      </c>
      <c r="D46" s="2">
        <f t="shared" si="0"/>
        <v>1.7873371705543928E-2</v>
      </c>
      <c r="E46" s="8"/>
      <c r="F46" s="8"/>
    </row>
    <row r="47" spans="2:6" x14ac:dyDescent="0.3">
      <c r="B47" s="7">
        <v>37865</v>
      </c>
      <c r="C47" s="11">
        <v>996</v>
      </c>
      <c r="D47" s="2">
        <f t="shared" si="0"/>
        <v>-1.1904761904761862E-2</v>
      </c>
      <c r="E47" s="8"/>
      <c r="F47" s="8"/>
    </row>
    <row r="48" spans="2:6" x14ac:dyDescent="0.3">
      <c r="B48" s="7">
        <v>37895</v>
      </c>
      <c r="C48" s="11">
        <v>1050.7</v>
      </c>
      <c r="D48" s="2">
        <f t="shared" si="0"/>
        <v>5.4919678714859588E-2</v>
      </c>
      <c r="E48" s="8"/>
      <c r="F48" s="8"/>
    </row>
    <row r="49" spans="2:6" x14ac:dyDescent="0.3">
      <c r="B49" s="7">
        <v>37926</v>
      </c>
      <c r="C49" s="11">
        <v>1058.2</v>
      </c>
      <c r="D49" s="2">
        <f t="shared" si="0"/>
        <v>7.1380984105833267E-3</v>
      </c>
      <c r="E49" s="8"/>
      <c r="F49" s="8"/>
    </row>
    <row r="50" spans="2:6" x14ac:dyDescent="0.3">
      <c r="B50" s="7">
        <v>37956</v>
      </c>
      <c r="C50" s="11">
        <v>1111.9000000000001</v>
      </c>
      <c r="D50" s="2">
        <f t="shared" si="0"/>
        <v>5.0746550746550767E-2</v>
      </c>
      <c r="E50" s="8"/>
      <c r="F50" s="8"/>
    </row>
    <row r="51" spans="2:6" x14ac:dyDescent="0.3">
      <c r="B51" s="7">
        <v>37987</v>
      </c>
      <c r="C51" s="11">
        <v>1131.0999999999999</v>
      </c>
      <c r="D51" s="2">
        <f t="shared" si="0"/>
        <v>1.7267739904667456E-2</v>
      </c>
      <c r="E51" s="8"/>
      <c r="F51" s="8"/>
    </row>
    <row r="52" spans="2:6" x14ac:dyDescent="0.3">
      <c r="B52" s="7">
        <v>38018</v>
      </c>
      <c r="C52" s="11">
        <v>1144.9000000000001</v>
      </c>
      <c r="D52" s="2">
        <f t="shared" si="0"/>
        <v>1.2200512775174754E-2</v>
      </c>
      <c r="E52" s="8"/>
      <c r="F52" s="8"/>
    </row>
    <row r="53" spans="2:6" x14ac:dyDescent="0.3">
      <c r="B53" s="7">
        <v>38047</v>
      </c>
      <c r="C53" s="11">
        <v>1126.2</v>
      </c>
      <c r="D53" s="2">
        <f t="shared" si="0"/>
        <v>-1.6333304218709044E-2</v>
      </c>
      <c r="E53" s="8"/>
      <c r="F53" s="8"/>
    </row>
    <row r="54" spans="2:6" x14ac:dyDescent="0.3">
      <c r="B54" s="7">
        <v>38078</v>
      </c>
      <c r="C54" s="11">
        <v>1107.3</v>
      </c>
      <c r="D54" s="2">
        <f t="shared" si="0"/>
        <v>-1.6782099094299507E-2</v>
      </c>
      <c r="E54" s="8"/>
      <c r="F54" s="8"/>
    </row>
    <row r="55" spans="2:6" x14ac:dyDescent="0.3">
      <c r="B55" s="7">
        <v>38108</v>
      </c>
      <c r="C55" s="11">
        <v>1120.7</v>
      </c>
      <c r="D55" s="2">
        <f t="shared" si="0"/>
        <v>1.2101508173033571E-2</v>
      </c>
      <c r="E55" s="8"/>
      <c r="F55" s="8"/>
    </row>
    <row r="56" spans="2:6" x14ac:dyDescent="0.3">
      <c r="B56" s="7">
        <v>38139</v>
      </c>
      <c r="C56" s="11">
        <v>1140.8</v>
      </c>
      <c r="D56" s="2">
        <f t="shared" si="0"/>
        <v>1.7935219059516339E-2</v>
      </c>
      <c r="E56" s="8"/>
      <c r="F56" s="8"/>
    </row>
    <row r="57" spans="2:6" x14ac:dyDescent="0.3">
      <c r="B57" s="7">
        <v>38169</v>
      </c>
      <c r="C57" s="11">
        <v>1101.7</v>
      </c>
      <c r="D57" s="2">
        <f t="shared" si="0"/>
        <v>-3.4274193548387011E-2</v>
      </c>
      <c r="E57" s="8"/>
      <c r="F57" s="8"/>
    </row>
    <row r="58" spans="2:6" x14ac:dyDescent="0.3">
      <c r="B58" s="7">
        <v>38200</v>
      </c>
      <c r="C58" s="11">
        <v>1104.2</v>
      </c>
      <c r="D58" s="2">
        <f t="shared" si="0"/>
        <v>2.2692202959062602E-3</v>
      </c>
      <c r="E58" s="8"/>
      <c r="F58" s="8"/>
    </row>
    <row r="59" spans="2:6" x14ac:dyDescent="0.3">
      <c r="B59" s="7">
        <v>38231</v>
      </c>
      <c r="C59" s="11">
        <v>1114.5999999999999</v>
      </c>
      <c r="D59" s="2">
        <f t="shared" si="0"/>
        <v>9.418583589929197E-3</v>
      </c>
      <c r="E59" s="8"/>
      <c r="F59" s="8"/>
    </row>
    <row r="60" spans="2:6" x14ac:dyDescent="0.3">
      <c r="B60" s="7">
        <v>38261</v>
      </c>
      <c r="C60" s="11">
        <v>1130.2</v>
      </c>
      <c r="D60" s="2">
        <f t="shared" si="0"/>
        <v>1.3996052395478298E-2</v>
      </c>
      <c r="E60" s="8"/>
      <c r="F60" s="8"/>
    </row>
    <row r="61" spans="2:6" x14ac:dyDescent="0.3">
      <c r="B61" s="7">
        <v>38292</v>
      </c>
      <c r="C61" s="11">
        <v>1173.8</v>
      </c>
      <c r="D61" s="2">
        <f t="shared" si="0"/>
        <v>3.8577242965846636E-2</v>
      </c>
      <c r="E61" s="8"/>
      <c r="F61" s="8"/>
    </row>
    <row r="62" spans="2:6" x14ac:dyDescent="0.3">
      <c r="B62" s="7">
        <v>38322</v>
      </c>
      <c r="C62" s="11">
        <v>1211.9000000000001</v>
      </c>
      <c r="D62" s="2">
        <f t="shared" si="0"/>
        <v>3.2458681206338547E-2</v>
      </c>
      <c r="E62" s="8"/>
      <c r="F62" s="8"/>
    </row>
    <row r="63" spans="2:6" x14ac:dyDescent="0.3">
      <c r="B63" s="7">
        <v>38353</v>
      </c>
      <c r="C63" s="11">
        <v>1181.3</v>
      </c>
      <c r="D63" s="2">
        <f t="shared" si="0"/>
        <v>-2.5249608053469874E-2</v>
      </c>
      <c r="E63" s="8"/>
      <c r="F63" s="8"/>
    </row>
    <row r="64" spans="2:6" x14ac:dyDescent="0.3">
      <c r="B64" s="7">
        <v>38384</v>
      </c>
      <c r="C64" s="11">
        <v>1203.5999999999999</v>
      </c>
      <c r="D64" s="2">
        <f t="shared" si="0"/>
        <v>1.8877507830356244E-2</v>
      </c>
      <c r="E64" s="8"/>
      <c r="F64" s="8"/>
    </row>
    <row r="65" spans="2:6" x14ac:dyDescent="0.3">
      <c r="B65" s="7">
        <v>38412</v>
      </c>
      <c r="C65" s="11">
        <v>1180.5999999999999</v>
      </c>
      <c r="D65" s="2">
        <f t="shared" si="0"/>
        <v>-1.9109338650714514E-2</v>
      </c>
      <c r="E65" s="8"/>
      <c r="F65" s="8"/>
    </row>
    <row r="66" spans="2:6" x14ac:dyDescent="0.3">
      <c r="B66" s="7">
        <v>38443</v>
      </c>
      <c r="C66" s="11">
        <v>1156.8</v>
      </c>
      <c r="D66" s="2">
        <f t="shared" si="0"/>
        <v>-2.0159241063865796E-2</v>
      </c>
      <c r="E66" s="8"/>
      <c r="F66" s="8"/>
    </row>
    <row r="67" spans="2:6" x14ac:dyDescent="0.3">
      <c r="B67" s="7">
        <v>38473</v>
      </c>
      <c r="C67" s="11">
        <v>1191.5</v>
      </c>
      <c r="D67" s="2">
        <f t="shared" si="0"/>
        <v>2.9996542185338981E-2</v>
      </c>
      <c r="E67" s="8"/>
      <c r="F67" s="8"/>
    </row>
    <row r="68" spans="2:6" x14ac:dyDescent="0.3">
      <c r="B68" s="7">
        <v>38504</v>
      </c>
      <c r="C68" s="11">
        <v>1191.3</v>
      </c>
      <c r="D68" s="2">
        <f t="shared" ref="D68:D131" si="4">C68/C67-1</f>
        <v>-1.6785564414611986E-4</v>
      </c>
      <c r="E68" s="8"/>
      <c r="F68" s="8"/>
    </row>
    <row r="69" spans="2:6" x14ac:dyDescent="0.3">
      <c r="B69" s="7">
        <v>38534</v>
      </c>
      <c r="C69" s="11">
        <v>1234.2</v>
      </c>
      <c r="D69" s="2">
        <f t="shared" si="4"/>
        <v>3.6011080332410073E-2</v>
      </c>
      <c r="E69" s="8"/>
      <c r="F69" s="8"/>
    </row>
    <row r="70" spans="2:6" x14ac:dyDescent="0.3">
      <c r="B70" s="7">
        <v>38565</v>
      </c>
      <c r="C70" s="11">
        <v>1220.3</v>
      </c>
      <c r="D70" s="2">
        <f t="shared" si="4"/>
        <v>-1.126235618214233E-2</v>
      </c>
      <c r="E70" s="8"/>
      <c r="F70" s="8"/>
    </row>
    <row r="71" spans="2:6" x14ac:dyDescent="0.3">
      <c r="B71" s="7">
        <v>38596</v>
      </c>
      <c r="C71" s="11">
        <v>1228.8</v>
      </c>
      <c r="D71" s="2">
        <f t="shared" si="4"/>
        <v>6.965500286814752E-3</v>
      </c>
      <c r="E71" s="8"/>
      <c r="F71" s="8"/>
    </row>
    <row r="72" spans="2:6" x14ac:dyDescent="0.3">
      <c r="B72" s="7">
        <v>38626</v>
      </c>
      <c r="C72" s="11">
        <v>1207</v>
      </c>
      <c r="D72" s="2">
        <f t="shared" si="4"/>
        <v>-1.774088541666663E-2</v>
      </c>
      <c r="E72" s="8"/>
      <c r="F72" s="8"/>
    </row>
    <row r="73" spans="2:6" x14ac:dyDescent="0.3">
      <c r="B73" s="7">
        <v>38657</v>
      </c>
      <c r="C73" s="11">
        <v>1249.5</v>
      </c>
      <c r="D73" s="2">
        <f t="shared" si="4"/>
        <v>3.5211267605633756E-2</v>
      </c>
      <c r="E73" s="8"/>
      <c r="F73" s="8"/>
    </row>
    <row r="74" spans="2:6" x14ac:dyDescent="0.3">
      <c r="B74" s="7">
        <v>38687</v>
      </c>
      <c r="C74" s="11">
        <v>1248.3</v>
      </c>
      <c r="D74" s="2">
        <f t="shared" si="4"/>
        <v>-9.6038415366150875E-4</v>
      </c>
      <c r="E74" s="8"/>
      <c r="F74" s="8"/>
    </row>
    <row r="75" spans="2:6" x14ac:dyDescent="0.3">
      <c r="B75" s="7">
        <v>38718</v>
      </c>
      <c r="C75" s="11">
        <v>1280.0999999999999</v>
      </c>
      <c r="D75" s="2">
        <f t="shared" si="4"/>
        <v>2.5474645517904237E-2</v>
      </c>
      <c r="E75" s="8"/>
      <c r="F75" s="8"/>
    </row>
    <row r="76" spans="2:6" x14ac:dyDescent="0.3">
      <c r="B76" s="7">
        <v>38749</v>
      </c>
      <c r="C76" s="11">
        <v>1280.7</v>
      </c>
      <c r="D76" s="2">
        <f t="shared" si="4"/>
        <v>4.687133817671274E-4</v>
      </c>
      <c r="E76" s="8"/>
      <c r="F76" s="8"/>
    </row>
    <row r="77" spans="2:6" x14ac:dyDescent="0.3">
      <c r="B77" s="7">
        <v>38777</v>
      </c>
      <c r="C77" s="11">
        <v>1294.8</v>
      </c>
      <c r="D77" s="2">
        <f t="shared" si="4"/>
        <v>1.1009604122745209E-2</v>
      </c>
      <c r="E77" s="8"/>
      <c r="F77" s="8"/>
    </row>
    <row r="78" spans="2:6" x14ac:dyDescent="0.3">
      <c r="B78" s="7">
        <v>38808</v>
      </c>
      <c r="C78" s="11">
        <v>1310.5999999999999</v>
      </c>
      <c r="D78" s="2">
        <f t="shared" si="4"/>
        <v>1.22026567809701E-2</v>
      </c>
      <c r="E78" s="8"/>
      <c r="F78" s="8"/>
    </row>
    <row r="79" spans="2:6" x14ac:dyDescent="0.3">
      <c r="B79" s="7">
        <v>38838</v>
      </c>
      <c r="C79" s="11">
        <v>1270.0999999999999</v>
      </c>
      <c r="D79" s="2">
        <f t="shared" si="4"/>
        <v>-3.090187700289948E-2</v>
      </c>
      <c r="E79" s="8"/>
      <c r="F79" s="8"/>
    </row>
    <row r="80" spans="2:6" x14ac:dyDescent="0.3">
      <c r="B80" s="7">
        <v>38869</v>
      </c>
      <c r="C80" s="11">
        <v>1270.2</v>
      </c>
      <c r="D80" s="2">
        <f t="shared" si="4"/>
        <v>7.8733957956211853E-5</v>
      </c>
      <c r="E80" s="8"/>
      <c r="F80" s="8"/>
    </row>
    <row r="81" spans="2:6" x14ac:dyDescent="0.3">
      <c r="B81" s="7">
        <v>38899</v>
      </c>
      <c r="C81" s="11">
        <v>1276.7</v>
      </c>
      <c r="D81" s="2">
        <f t="shared" si="4"/>
        <v>5.1173043615178049E-3</v>
      </c>
      <c r="E81" s="8"/>
      <c r="F81" s="8"/>
    </row>
    <row r="82" spans="2:6" x14ac:dyDescent="0.3">
      <c r="B82" s="7">
        <v>38930</v>
      </c>
      <c r="C82" s="11">
        <v>1303.8</v>
      </c>
      <c r="D82" s="2">
        <f t="shared" si="4"/>
        <v>2.1226599827680603E-2</v>
      </c>
      <c r="E82" s="8"/>
      <c r="F82" s="8"/>
    </row>
    <row r="83" spans="2:6" x14ac:dyDescent="0.3">
      <c r="B83" s="7">
        <v>38961</v>
      </c>
      <c r="C83" s="11">
        <v>1335.8</v>
      </c>
      <c r="D83" s="2">
        <f t="shared" si="4"/>
        <v>2.4543641662831739E-2</v>
      </c>
      <c r="E83" s="8"/>
      <c r="F83" s="8"/>
    </row>
    <row r="84" spans="2:6" x14ac:dyDescent="0.3">
      <c r="B84" s="7">
        <v>38991</v>
      </c>
      <c r="C84" s="11">
        <v>1377.9</v>
      </c>
      <c r="D84" s="2">
        <f t="shared" si="4"/>
        <v>3.1516694115885757E-2</v>
      </c>
      <c r="E84" s="8"/>
      <c r="F84" s="8"/>
    </row>
    <row r="85" spans="2:6" x14ac:dyDescent="0.3">
      <c r="B85" s="7">
        <v>39022</v>
      </c>
      <c r="C85" s="11">
        <v>1400.6</v>
      </c>
      <c r="D85" s="2">
        <f t="shared" si="4"/>
        <v>1.6474345017780445E-2</v>
      </c>
      <c r="E85" s="8"/>
      <c r="F85" s="8"/>
    </row>
    <row r="86" spans="2:6" x14ac:dyDescent="0.3">
      <c r="B86" s="7">
        <v>39052</v>
      </c>
      <c r="C86" s="11">
        <v>1418.3</v>
      </c>
      <c r="D86" s="2">
        <f t="shared" si="4"/>
        <v>1.2637441096672974E-2</v>
      </c>
      <c r="E86" s="8"/>
      <c r="F86" s="8"/>
    </row>
    <row r="87" spans="2:6" x14ac:dyDescent="0.3">
      <c r="B87" s="7">
        <v>39083</v>
      </c>
      <c r="C87" s="11">
        <v>1438.2</v>
      </c>
      <c r="D87" s="2">
        <f t="shared" si="4"/>
        <v>1.4030882041881299E-2</v>
      </c>
      <c r="E87" s="8"/>
      <c r="F87" s="8"/>
    </row>
    <row r="88" spans="2:6" x14ac:dyDescent="0.3">
      <c r="B88" s="7">
        <v>39114</v>
      </c>
      <c r="C88" s="11">
        <v>1406.8</v>
      </c>
      <c r="D88" s="2">
        <f t="shared" si="4"/>
        <v>-2.1832846613822898E-2</v>
      </c>
      <c r="E88" s="8"/>
      <c r="F88" s="8"/>
    </row>
    <row r="89" spans="2:6" x14ac:dyDescent="0.3">
      <c r="B89" s="7">
        <v>39142</v>
      </c>
      <c r="C89" s="11">
        <v>1420.9</v>
      </c>
      <c r="D89" s="2">
        <f t="shared" si="4"/>
        <v>1.0022746659084536E-2</v>
      </c>
      <c r="E89" s="8"/>
      <c r="F89" s="8"/>
    </row>
    <row r="90" spans="2:6" x14ac:dyDescent="0.3">
      <c r="B90" s="7">
        <v>39173</v>
      </c>
      <c r="C90" s="11">
        <v>1482.4</v>
      </c>
      <c r="D90" s="2">
        <f t="shared" si="4"/>
        <v>4.3282426631008564E-2</v>
      </c>
      <c r="E90" s="8"/>
      <c r="F90" s="8"/>
    </row>
    <row r="91" spans="2:6" x14ac:dyDescent="0.3">
      <c r="B91" s="7">
        <v>39203</v>
      </c>
      <c r="C91" s="11">
        <v>1530.6</v>
      </c>
      <c r="D91" s="2">
        <f t="shared" si="4"/>
        <v>3.2514840798704592E-2</v>
      </c>
      <c r="E91" s="8"/>
      <c r="F91" s="8"/>
    </row>
    <row r="92" spans="2:6" x14ac:dyDescent="0.3">
      <c r="B92" s="7">
        <v>39234</v>
      </c>
      <c r="C92" s="11">
        <v>1503.3</v>
      </c>
      <c r="D92" s="2">
        <f t="shared" si="4"/>
        <v>-1.7836142689141465E-2</v>
      </c>
      <c r="E92" s="8"/>
      <c r="F92" s="8"/>
    </row>
    <row r="93" spans="2:6" x14ac:dyDescent="0.3">
      <c r="B93" s="7">
        <v>39264</v>
      </c>
      <c r="C93" s="11">
        <v>1455.3</v>
      </c>
      <c r="D93" s="2">
        <f t="shared" si="4"/>
        <v>-3.1929754540012012E-2</v>
      </c>
      <c r="E93" s="8"/>
      <c r="F93" s="8"/>
    </row>
    <row r="94" spans="2:6" x14ac:dyDescent="0.3">
      <c r="B94" s="7">
        <v>39295</v>
      </c>
      <c r="C94" s="11">
        <v>1474</v>
      </c>
      <c r="D94" s="2">
        <f t="shared" si="4"/>
        <v>1.2849584278155746E-2</v>
      </c>
      <c r="E94" s="8"/>
      <c r="F94" s="8"/>
    </row>
    <row r="95" spans="2:6" x14ac:dyDescent="0.3">
      <c r="B95" s="7">
        <v>39326</v>
      </c>
      <c r="C95" s="11">
        <v>1526.8</v>
      </c>
      <c r="D95" s="2">
        <f t="shared" si="4"/>
        <v>3.5820895522387985E-2</v>
      </c>
      <c r="E95" s="8"/>
      <c r="F95" s="8"/>
    </row>
    <row r="96" spans="2:6" x14ac:dyDescent="0.3">
      <c r="B96" s="7">
        <v>39356</v>
      </c>
      <c r="C96" s="11">
        <v>1549.4</v>
      </c>
      <c r="D96" s="2">
        <f t="shared" si="4"/>
        <v>1.4802200681163225E-2</v>
      </c>
      <c r="E96" s="8"/>
      <c r="F96" s="8"/>
    </row>
    <row r="97" spans="2:6" x14ac:dyDescent="0.3">
      <c r="B97" s="7">
        <v>39387</v>
      </c>
      <c r="C97" s="11">
        <v>1481.1</v>
      </c>
      <c r="D97" s="2">
        <f t="shared" si="4"/>
        <v>-4.4081579966438689E-2</v>
      </c>
      <c r="E97" s="8"/>
      <c r="F97" s="8"/>
    </row>
    <row r="98" spans="2:6" x14ac:dyDescent="0.3">
      <c r="B98" s="7">
        <v>39417</v>
      </c>
      <c r="C98" s="11">
        <v>1468.4</v>
      </c>
      <c r="D98" s="2">
        <f t="shared" si="4"/>
        <v>-8.5747079873066401E-3</v>
      </c>
      <c r="E98" s="8"/>
      <c r="F98" s="8"/>
    </row>
    <row r="99" spans="2:6" x14ac:dyDescent="0.3">
      <c r="B99" s="7">
        <v>39448</v>
      </c>
      <c r="C99" s="11">
        <v>1378.5</v>
      </c>
      <c r="D99" s="2">
        <f t="shared" si="4"/>
        <v>-6.1223099972759543E-2</v>
      </c>
      <c r="E99" s="8"/>
      <c r="F99" s="8"/>
    </row>
    <row r="100" spans="2:6" x14ac:dyDescent="0.3">
      <c r="B100" s="7">
        <v>39479</v>
      </c>
      <c r="C100" s="11">
        <v>1330.6</v>
      </c>
      <c r="D100" s="2">
        <f t="shared" si="4"/>
        <v>-3.4747914399709923E-2</v>
      </c>
      <c r="E100" s="8"/>
      <c r="F100" s="8"/>
    </row>
    <row r="101" spans="2:6" x14ac:dyDescent="0.3">
      <c r="B101" s="7">
        <v>39508</v>
      </c>
      <c r="C101" s="11">
        <v>1322.7</v>
      </c>
      <c r="D101" s="2">
        <f t="shared" si="4"/>
        <v>-5.9371712009618216E-3</v>
      </c>
      <c r="E101" s="8"/>
      <c r="F101" s="8"/>
    </row>
    <row r="102" spans="2:6" x14ac:dyDescent="0.3">
      <c r="B102" s="7">
        <v>39539</v>
      </c>
      <c r="C102" s="11">
        <v>1385.6</v>
      </c>
      <c r="D102" s="2">
        <f t="shared" si="4"/>
        <v>4.7554245104709958E-2</v>
      </c>
      <c r="E102" s="8"/>
      <c r="F102" s="8"/>
    </row>
    <row r="103" spans="2:6" x14ac:dyDescent="0.3">
      <c r="B103" s="7">
        <v>39569</v>
      </c>
      <c r="C103" s="11">
        <v>1400.4</v>
      </c>
      <c r="D103" s="2">
        <f t="shared" si="4"/>
        <v>1.068129330254064E-2</v>
      </c>
      <c r="E103" s="8"/>
      <c r="F103" s="8"/>
    </row>
    <row r="104" spans="2:6" x14ac:dyDescent="0.3">
      <c r="B104" s="7">
        <v>39600</v>
      </c>
      <c r="C104" s="11">
        <v>1280</v>
      </c>
      <c r="D104" s="2">
        <f t="shared" si="4"/>
        <v>-8.5975435589831561E-2</v>
      </c>
      <c r="E104" s="8"/>
      <c r="F104" s="8"/>
    </row>
    <row r="105" spans="2:6" x14ac:dyDescent="0.3">
      <c r="B105" s="7">
        <v>39630</v>
      </c>
      <c r="C105" s="11">
        <v>1267.4000000000001</v>
      </c>
      <c r="D105" s="2">
        <f t="shared" si="4"/>
        <v>-9.8437499999999289E-3</v>
      </c>
      <c r="E105" s="8"/>
      <c r="F105" s="8"/>
    </row>
    <row r="106" spans="2:6" x14ac:dyDescent="0.3">
      <c r="B106" s="7">
        <v>39661</v>
      </c>
      <c r="C106" s="11">
        <v>1282.8</v>
      </c>
      <c r="D106" s="2">
        <f t="shared" si="4"/>
        <v>1.2150860028404598E-2</v>
      </c>
      <c r="E106" s="8"/>
      <c r="F106" s="8"/>
    </row>
    <row r="107" spans="2:6" x14ac:dyDescent="0.3">
      <c r="B107" s="7">
        <v>39692</v>
      </c>
      <c r="C107" s="11">
        <v>1166.4000000000001</v>
      </c>
      <c r="D107" s="2">
        <f t="shared" si="4"/>
        <v>-9.0739008419083111E-2</v>
      </c>
      <c r="E107" s="8"/>
      <c r="F107" s="8"/>
    </row>
    <row r="108" spans="2:6" x14ac:dyDescent="0.3">
      <c r="B108" s="7">
        <v>39722</v>
      </c>
      <c r="C108" s="11">
        <v>968.8</v>
      </c>
      <c r="D108" s="2">
        <f t="shared" si="4"/>
        <v>-0.16941015089163247</v>
      </c>
      <c r="E108" s="8"/>
      <c r="F108" s="8"/>
    </row>
    <row r="109" spans="2:6" x14ac:dyDescent="0.3">
      <c r="B109" s="7">
        <v>39753</v>
      </c>
      <c r="C109" s="11">
        <v>896.2</v>
      </c>
      <c r="D109" s="2">
        <f t="shared" si="4"/>
        <v>-7.4938067712634115E-2</v>
      </c>
      <c r="E109" s="8"/>
      <c r="F109" s="8"/>
    </row>
    <row r="110" spans="2:6" x14ac:dyDescent="0.3">
      <c r="B110" s="7">
        <v>39783</v>
      </c>
      <c r="C110" s="11">
        <v>903.2</v>
      </c>
      <c r="D110" s="2">
        <f t="shared" si="4"/>
        <v>7.8107565275609137E-3</v>
      </c>
      <c r="E110" s="8"/>
      <c r="F110" s="8"/>
    </row>
    <row r="111" spans="2:6" x14ac:dyDescent="0.3">
      <c r="B111" s="7">
        <v>39814</v>
      </c>
      <c r="C111" s="11">
        <v>825.9</v>
      </c>
      <c r="D111" s="2">
        <f t="shared" si="4"/>
        <v>-8.558458813108949E-2</v>
      </c>
      <c r="E111" s="8"/>
      <c r="F111" s="8"/>
    </row>
    <row r="112" spans="2:6" x14ac:dyDescent="0.3">
      <c r="B112" s="7">
        <v>39845</v>
      </c>
      <c r="C112" s="11">
        <v>735.1</v>
      </c>
      <c r="D112" s="2">
        <f t="shared" si="4"/>
        <v>-0.10994067078338776</v>
      </c>
      <c r="E112" s="8"/>
      <c r="F112" s="8"/>
    </row>
    <row r="113" spans="2:6" x14ac:dyDescent="0.3">
      <c r="B113" s="7">
        <v>39873</v>
      </c>
      <c r="C113" s="11">
        <v>797.9</v>
      </c>
      <c r="D113" s="2">
        <f t="shared" si="4"/>
        <v>8.5430553666167697E-2</v>
      </c>
      <c r="E113" s="8"/>
      <c r="F113" s="8"/>
    </row>
    <row r="114" spans="2:6" x14ac:dyDescent="0.3">
      <c r="B114" s="7">
        <v>39904</v>
      </c>
      <c r="C114" s="11">
        <v>872.8</v>
      </c>
      <c r="D114" s="2">
        <f t="shared" si="4"/>
        <v>9.3871412457701364E-2</v>
      </c>
      <c r="E114" s="8"/>
      <c r="F114" s="8"/>
    </row>
    <row r="115" spans="2:6" x14ac:dyDescent="0.3">
      <c r="B115" s="7">
        <v>39934</v>
      </c>
      <c r="C115" s="11">
        <v>919.1</v>
      </c>
      <c r="D115" s="2">
        <f t="shared" si="4"/>
        <v>5.3047662694775566E-2</v>
      </c>
      <c r="E115" s="8"/>
      <c r="F115" s="8"/>
    </row>
    <row r="116" spans="2:6" x14ac:dyDescent="0.3">
      <c r="B116" s="7">
        <v>39965</v>
      </c>
      <c r="C116" s="11">
        <v>919.3</v>
      </c>
      <c r="D116" s="2">
        <f t="shared" si="4"/>
        <v>2.1760417800020804E-4</v>
      </c>
      <c r="E116" s="8"/>
      <c r="F116" s="8"/>
    </row>
    <row r="117" spans="2:6" x14ac:dyDescent="0.3">
      <c r="B117" s="7">
        <v>39995</v>
      </c>
      <c r="C117" s="11">
        <v>987.5</v>
      </c>
      <c r="D117" s="2">
        <f t="shared" si="4"/>
        <v>7.4186881322745535E-2</v>
      </c>
      <c r="E117" s="8"/>
      <c r="F117" s="8"/>
    </row>
    <row r="118" spans="2:6" x14ac:dyDescent="0.3">
      <c r="B118" s="7">
        <v>40026</v>
      </c>
      <c r="C118" s="11">
        <v>1020.6</v>
      </c>
      <c r="D118" s="2">
        <f t="shared" si="4"/>
        <v>3.3518987341772277E-2</v>
      </c>
      <c r="E118" s="8"/>
      <c r="F118" s="8"/>
    </row>
    <row r="119" spans="2:6" x14ac:dyDescent="0.3">
      <c r="B119" s="7">
        <v>40057</v>
      </c>
      <c r="C119" s="11">
        <v>1057.0999999999999</v>
      </c>
      <c r="D119" s="2">
        <f t="shared" si="4"/>
        <v>3.5763276504017227E-2</v>
      </c>
      <c r="E119" s="8"/>
      <c r="F119" s="8"/>
    </row>
    <row r="120" spans="2:6" x14ac:dyDescent="0.3">
      <c r="B120" s="7">
        <v>40087</v>
      </c>
      <c r="C120" s="11">
        <v>1036.2</v>
      </c>
      <c r="D120" s="2">
        <f t="shared" si="4"/>
        <v>-1.9771071800207984E-2</v>
      </c>
      <c r="E120" s="8"/>
      <c r="F120" s="8"/>
    </row>
    <row r="121" spans="2:6" x14ac:dyDescent="0.3">
      <c r="B121" s="7">
        <v>40118</v>
      </c>
      <c r="C121" s="11">
        <v>1095.5999999999999</v>
      </c>
      <c r="D121" s="2">
        <f t="shared" si="4"/>
        <v>5.7324840764330975E-2</v>
      </c>
      <c r="E121" s="8"/>
      <c r="F121" s="8"/>
    </row>
    <row r="122" spans="2:6" x14ac:dyDescent="0.3">
      <c r="B122" s="7">
        <v>40148</v>
      </c>
      <c r="C122" s="11">
        <v>1115.0999999999999</v>
      </c>
      <c r="D122" s="2">
        <f t="shared" si="4"/>
        <v>1.7798466593647255E-2</v>
      </c>
      <c r="E122" s="8"/>
      <c r="F122" s="8"/>
    </row>
    <row r="123" spans="2:6" x14ac:dyDescent="0.3">
      <c r="B123" s="7">
        <v>40179</v>
      </c>
      <c r="C123" s="11">
        <v>1073.9000000000001</v>
      </c>
      <c r="D123" s="2">
        <f t="shared" si="4"/>
        <v>-3.6947358981257117E-2</v>
      </c>
      <c r="E123" s="8"/>
      <c r="F123" s="8"/>
    </row>
    <row r="124" spans="2:6" x14ac:dyDescent="0.3">
      <c r="B124" s="7">
        <v>40210</v>
      </c>
      <c r="C124" s="11">
        <v>1104.5</v>
      </c>
      <c r="D124" s="2">
        <f t="shared" si="4"/>
        <v>2.8494273209795917E-2</v>
      </c>
      <c r="E124" s="8"/>
      <c r="F124" s="8"/>
    </row>
    <row r="125" spans="2:6" x14ac:dyDescent="0.3">
      <c r="B125" s="7">
        <v>40238</v>
      </c>
      <c r="C125" s="11">
        <v>1169.4000000000001</v>
      </c>
      <c r="D125" s="2">
        <f t="shared" si="4"/>
        <v>5.8759619737437818E-2</v>
      </c>
      <c r="E125" s="8"/>
      <c r="F125" s="8"/>
    </row>
    <row r="126" spans="2:6" x14ac:dyDescent="0.3">
      <c r="B126" s="7">
        <v>40269</v>
      </c>
      <c r="C126" s="11">
        <v>1186.7</v>
      </c>
      <c r="D126" s="2">
        <f t="shared" si="4"/>
        <v>1.4793911407559479E-2</v>
      </c>
      <c r="E126" s="8"/>
      <c r="F126" s="8"/>
    </row>
    <row r="127" spans="2:6" x14ac:dyDescent="0.3">
      <c r="B127" s="7">
        <v>40299</v>
      </c>
      <c r="C127" s="11">
        <v>1089.4000000000001</v>
      </c>
      <c r="D127" s="2">
        <f t="shared" si="4"/>
        <v>-8.1992078874188912E-2</v>
      </c>
      <c r="E127" s="8"/>
      <c r="F127" s="8"/>
    </row>
    <row r="128" spans="2:6" x14ac:dyDescent="0.3">
      <c r="B128" s="7">
        <v>40330</v>
      </c>
      <c r="C128" s="11">
        <v>1030.7</v>
      </c>
      <c r="D128" s="2">
        <f t="shared" si="4"/>
        <v>-5.3882871305305668E-2</v>
      </c>
      <c r="E128" s="8"/>
      <c r="F128" s="8"/>
    </row>
    <row r="129" spans="2:6" x14ac:dyDescent="0.3">
      <c r="B129" s="7">
        <v>40360</v>
      </c>
      <c r="C129" s="11">
        <v>1101.5999999999999</v>
      </c>
      <c r="D129" s="2">
        <f t="shared" si="4"/>
        <v>6.8788202192684444E-2</v>
      </c>
      <c r="E129" s="8"/>
      <c r="F129" s="8"/>
    </row>
    <row r="130" spans="2:6" x14ac:dyDescent="0.3">
      <c r="B130" s="7">
        <v>40391</v>
      </c>
      <c r="C130" s="11">
        <v>1049.3</v>
      </c>
      <c r="D130" s="2">
        <f t="shared" si="4"/>
        <v>-4.7476397966593975E-2</v>
      </c>
      <c r="E130" s="8"/>
      <c r="F130" s="8"/>
    </row>
    <row r="131" spans="2:6" x14ac:dyDescent="0.3">
      <c r="B131" s="7">
        <v>40422</v>
      </c>
      <c r="C131" s="11">
        <v>1141.2</v>
      </c>
      <c r="D131" s="2">
        <f t="shared" si="4"/>
        <v>8.7582197655579952E-2</v>
      </c>
      <c r="E131" s="8"/>
      <c r="F131" s="8"/>
    </row>
    <row r="132" spans="2:6" x14ac:dyDescent="0.3">
      <c r="B132" s="7">
        <v>40452</v>
      </c>
      <c r="C132" s="11">
        <v>1183.3</v>
      </c>
      <c r="D132" s="2">
        <f t="shared" ref="D132:D195" si="5">C132/C131-1</f>
        <v>3.6890991938310469E-2</v>
      </c>
      <c r="E132" s="8"/>
      <c r="F132" s="8"/>
    </row>
    <row r="133" spans="2:6" x14ac:dyDescent="0.3">
      <c r="B133" s="7">
        <v>40483</v>
      </c>
      <c r="C133" s="11">
        <v>1180.5</v>
      </c>
      <c r="D133" s="2">
        <f t="shared" si="5"/>
        <v>-2.3662638384179813E-3</v>
      </c>
      <c r="E133" s="8"/>
      <c r="F133" s="8"/>
    </row>
    <row r="134" spans="2:6" x14ac:dyDescent="0.3">
      <c r="B134" s="7">
        <v>40513</v>
      </c>
      <c r="C134" s="11">
        <v>1257.5999999999999</v>
      </c>
      <c r="D134" s="2">
        <f t="shared" si="5"/>
        <v>6.5311308767471266E-2</v>
      </c>
      <c r="E134" s="8"/>
      <c r="F134" s="8"/>
    </row>
    <row r="135" spans="2:6" x14ac:dyDescent="0.3">
      <c r="B135" s="7">
        <v>40544</v>
      </c>
      <c r="C135" s="11">
        <v>1286.0999999999999</v>
      </c>
      <c r="D135" s="2">
        <f t="shared" si="5"/>
        <v>2.2662213740457959E-2</v>
      </c>
      <c r="E135" s="8"/>
      <c r="F135" s="8"/>
    </row>
    <row r="136" spans="2:6" x14ac:dyDescent="0.3">
      <c r="B136" s="7">
        <v>40575</v>
      </c>
      <c r="C136" s="11">
        <v>1327.2</v>
      </c>
      <c r="D136" s="2">
        <f t="shared" si="5"/>
        <v>3.1957079542803912E-2</v>
      </c>
      <c r="E136" s="8"/>
      <c r="F136" s="8"/>
    </row>
    <row r="137" spans="2:6" x14ac:dyDescent="0.3">
      <c r="B137" s="7">
        <v>40603</v>
      </c>
      <c r="C137" s="11">
        <v>1325.8</v>
      </c>
      <c r="D137" s="2">
        <f t="shared" si="5"/>
        <v>-1.0548523206751481E-3</v>
      </c>
      <c r="E137" s="8"/>
      <c r="F137" s="8"/>
    </row>
    <row r="138" spans="2:6" x14ac:dyDescent="0.3">
      <c r="B138" s="7">
        <v>40634</v>
      </c>
      <c r="C138" s="11">
        <v>1363.6</v>
      </c>
      <c r="D138" s="2">
        <f t="shared" si="5"/>
        <v>2.8511087645195277E-2</v>
      </c>
      <c r="E138" s="8"/>
      <c r="F138" s="8"/>
    </row>
    <row r="139" spans="2:6" x14ac:dyDescent="0.3">
      <c r="B139" s="7">
        <v>40664</v>
      </c>
      <c r="C139" s="11">
        <v>1345.2</v>
      </c>
      <c r="D139" s="2">
        <f t="shared" si="5"/>
        <v>-1.3493693165150922E-2</v>
      </c>
      <c r="E139" s="8"/>
      <c r="F139" s="8"/>
    </row>
    <row r="140" spans="2:6" x14ac:dyDescent="0.3">
      <c r="B140" s="7">
        <v>40695</v>
      </c>
      <c r="C140" s="11">
        <v>1320.6</v>
      </c>
      <c r="D140" s="2">
        <f t="shared" si="5"/>
        <v>-1.8287243532560282E-2</v>
      </c>
      <c r="E140" s="8"/>
      <c r="F140" s="8"/>
    </row>
    <row r="141" spans="2:6" x14ac:dyDescent="0.3">
      <c r="B141" s="7">
        <v>40725</v>
      </c>
      <c r="C141" s="11">
        <v>1292.3</v>
      </c>
      <c r="D141" s="2">
        <f t="shared" si="5"/>
        <v>-2.1429653187944875E-2</v>
      </c>
      <c r="E141" s="8"/>
      <c r="F141" s="8"/>
    </row>
    <row r="142" spans="2:6" x14ac:dyDescent="0.3">
      <c r="B142" s="7">
        <v>40756</v>
      </c>
      <c r="C142" s="11">
        <v>1218.9000000000001</v>
      </c>
      <c r="D142" s="2">
        <f t="shared" si="5"/>
        <v>-5.679795713069713E-2</v>
      </c>
      <c r="E142" s="8"/>
      <c r="F142" s="8"/>
    </row>
    <row r="143" spans="2:6" x14ac:dyDescent="0.3">
      <c r="B143" s="7">
        <v>40787</v>
      </c>
      <c r="C143" s="11">
        <v>1131.4000000000001</v>
      </c>
      <c r="D143" s="2">
        <f t="shared" si="5"/>
        <v>-7.1786036590368307E-2</v>
      </c>
      <c r="E143" s="8"/>
      <c r="F143" s="8"/>
    </row>
    <row r="144" spans="2:6" x14ac:dyDescent="0.3">
      <c r="B144" s="7">
        <v>40817</v>
      </c>
      <c r="C144" s="11">
        <v>1253.3</v>
      </c>
      <c r="D144" s="2">
        <f t="shared" si="5"/>
        <v>0.10774261976312527</v>
      </c>
      <c r="E144" s="8"/>
      <c r="F144" s="8"/>
    </row>
    <row r="145" spans="2:6" x14ac:dyDescent="0.3">
      <c r="B145" s="7">
        <v>40848</v>
      </c>
      <c r="C145" s="11">
        <v>1247</v>
      </c>
      <c r="D145" s="2">
        <f t="shared" si="5"/>
        <v>-5.0267294342933866E-3</v>
      </c>
      <c r="E145" s="8"/>
      <c r="F145" s="8"/>
    </row>
    <row r="146" spans="2:6" x14ac:dyDescent="0.3">
      <c r="B146" s="7">
        <v>40878</v>
      </c>
      <c r="C146" s="11">
        <v>1257.5999999999999</v>
      </c>
      <c r="D146" s="2">
        <f t="shared" si="5"/>
        <v>8.5004009623095289E-3</v>
      </c>
      <c r="E146" s="8"/>
      <c r="F146" s="8"/>
    </row>
    <row r="147" spans="2:6" x14ac:dyDescent="0.3">
      <c r="B147" s="7">
        <v>40909</v>
      </c>
      <c r="C147" s="11">
        <v>1312.4</v>
      </c>
      <c r="D147" s="2">
        <f t="shared" si="5"/>
        <v>4.3575063613231713E-2</v>
      </c>
      <c r="E147" s="8"/>
      <c r="F147" s="8"/>
    </row>
    <row r="148" spans="2:6" x14ac:dyDescent="0.3">
      <c r="B148" s="7">
        <v>40940</v>
      </c>
      <c r="C148" s="11">
        <v>1365.7</v>
      </c>
      <c r="D148" s="2">
        <f t="shared" si="5"/>
        <v>4.0612618104236553E-2</v>
      </c>
      <c r="E148" s="8"/>
      <c r="F148" s="8"/>
    </row>
    <row r="149" spans="2:6" x14ac:dyDescent="0.3">
      <c r="B149" s="7">
        <v>40969</v>
      </c>
      <c r="C149" s="11">
        <v>1408.5</v>
      </c>
      <c r="D149" s="2">
        <f t="shared" si="5"/>
        <v>3.1339239950208597E-2</v>
      </c>
      <c r="E149" s="8"/>
      <c r="F149" s="8"/>
    </row>
    <row r="150" spans="2:6" x14ac:dyDescent="0.3">
      <c r="B150" s="7">
        <v>41000</v>
      </c>
      <c r="C150" s="11">
        <v>1397.9</v>
      </c>
      <c r="D150" s="2">
        <f t="shared" si="5"/>
        <v>-7.5257365992189573E-3</v>
      </c>
      <c r="E150" s="8"/>
      <c r="F150" s="8"/>
    </row>
    <row r="151" spans="2:6" x14ac:dyDescent="0.3">
      <c r="B151" s="7">
        <v>41030</v>
      </c>
      <c r="C151" s="11">
        <v>1310.3</v>
      </c>
      <c r="D151" s="2">
        <f t="shared" si="5"/>
        <v>-6.2665426711495886E-2</v>
      </c>
      <c r="E151" s="8"/>
      <c r="F151" s="8"/>
    </row>
    <row r="152" spans="2:6" x14ac:dyDescent="0.3">
      <c r="B152" s="7">
        <v>41061</v>
      </c>
      <c r="C152" s="11">
        <v>1362.2</v>
      </c>
      <c r="D152" s="2">
        <f t="shared" si="5"/>
        <v>3.9609249790124368E-2</v>
      </c>
      <c r="E152" s="8"/>
      <c r="F152" s="8"/>
    </row>
    <row r="153" spans="2:6" x14ac:dyDescent="0.3">
      <c r="B153" s="7">
        <v>41091</v>
      </c>
      <c r="C153" s="11">
        <v>1379.3</v>
      </c>
      <c r="D153" s="2">
        <f t="shared" si="5"/>
        <v>1.2553222727940128E-2</v>
      </c>
      <c r="E153" s="8"/>
      <c r="F153" s="8"/>
    </row>
    <row r="154" spans="2:6" x14ac:dyDescent="0.3">
      <c r="B154" s="7">
        <v>41122</v>
      </c>
      <c r="C154" s="11">
        <v>1406.6</v>
      </c>
      <c r="D154" s="2">
        <f t="shared" si="5"/>
        <v>1.9792648444863392E-2</v>
      </c>
      <c r="E154" s="8"/>
      <c r="F154" s="8"/>
    </row>
    <row r="155" spans="2:6" x14ac:dyDescent="0.3">
      <c r="B155" s="7">
        <v>41153</v>
      </c>
      <c r="C155" s="11">
        <v>1440.7</v>
      </c>
      <c r="D155" s="2">
        <f t="shared" si="5"/>
        <v>2.4242855111616723E-2</v>
      </c>
      <c r="E155" s="8"/>
      <c r="F155" s="8"/>
    </row>
    <row r="156" spans="2:6" x14ac:dyDescent="0.3">
      <c r="B156" s="7">
        <v>41183</v>
      </c>
      <c r="C156" s="11">
        <v>1412.2</v>
      </c>
      <c r="D156" s="2">
        <f t="shared" si="5"/>
        <v>-1.9782050392170514E-2</v>
      </c>
      <c r="E156" s="8"/>
      <c r="F156" s="8"/>
    </row>
    <row r="157" spans="2:6" x14ac:dyDescent="0.3">
      <c r="B157" s="7">
        <v>41214</v>
      </c>
      <c r="C157" s="11">
        <v>1416.2</v>
      </c>
      <c r="D157" s="2">
        <f t="shared" si="5"/>
        <v>2.8324599915026116E-3</v>
      </c>
      <c r="E157" s="8"/>
      <c r="F157" s="8"/>
    </row>
    <row r="158" spans="2:6" x14ac:dyDescent="0.3">
      <c r="B158" s="7">
        <v>41244</v>
      </c>
      <c r="C158" s="11">
        <v>1426.2</v>
      </c>
      <c r="D158" s="2">
        <f t="shared" si="5"/>
        <v>7.0611495551475834E-3</v>
      </c>
      <c r="E158" s="8"/>
      <c r="F158" s="8"/>
    </row>
    <row r="159" spans="2:6" x14ac:dyDescent="0.3">
      <c r="B159" s="7">
        <v>41275</v>
      </c>
      <c r="C159" s="11">
        <v>1498.1</v>
      </c>
      <c r="D159" s="2">
        <f t="shared" si="5"/>
        <v>5.0413686719954942E-2</v>
      </c>
      <c r="E159" s="8"/>
      <c r="F159" s="8"/>
    </row>
    <row r="160" spans="2:6" x14ac:dyDescent="0.3">
      <c r="B160" s="7">
        <v>41306</v>
      </c>
      <c r="C160" s="11">
        <v>1514.7</v>
      </c>
      <c r="D160" s="2">
        <f t="shared" si="5"/>
        <v>1.1080702222815653E-2</v>
      </c>
      <c r="E160" s="8"/>
      <c r="F160" s="8"/>
    </row>
    <row r="161" spans="2:6" x14ac:dyDescent="0.3">
      <c r="B161" s="7">
        <v>41334</v>
      </c>
      <c r="C161" s="11">
        <v>1569.2</v>
      </c>
      <c r="D161" s="2">
        <f t="shared" si="5"/>
        <v>3.5980722255231967E-2</v>
      </c>
      <c r="E161" s="8"/>
      <c r="F161" s="8"/>
    </row>
    <row r="162" spans="2:6" x14ac:dyDescent="0.3">
      <c r="B162" s="7">
        <v>41365</v>
      </c>
      <c r="C162" s="11">
        <v>1597.6</v>
      </c>
      <c r="D162" s="2">
        <f t="shared" si="5"/>
        <v>1.8098394086158542E-2</v>
      </c>
      <c r="E162" s="8"/>
      <c r="F162" s="8"/>
    </row>
    <row r="163" spans="2:6" x14ac:dyDescent="0.3">
      <c r="B163" s="7">
        <v>41395</v>
      </c>
      <c r="C163" s="11">
        <v>1630.7</v>
      </c>
      <c r="D163" s="2">
        <f t="shared" si="5"/>
        <v>2.0718577866800203E-2</v>
      </c>
      <c r="E163" s="8"/>
      <c r="F163" s="8"/>
    </row>
    <row r="164" spans="2:6" x14ac:dyDescent="0.3">
      <c r="B164" s="7">
        <v>41426</v>
      </c>
      <c r="C164" s="11">
        <v>1606.3</v>
      </c>
      <c r="D164" s="2">
        <f t="shared" si="5"/>
        <v>-1.4962899368369476E-2</v>
      </c>
      <c r="E164" s="8"/>
      <c r="F164" s="8"/>
    </row>
    <row r="165" spans="2:6" x14ac:dyDescent="0.3">
      <c r="B165" s="7">
        <v>41456</v>
      </c>
      <c r="C165" s="11">
        <v>1685.7</v>
      </c>
      <c r="D165" s="2">
        <f t="shared" si="5"/>
        <v>4.9430367926290186E-2</v>
      </c>
      <c r="E165" s="8"/>
      <c r="F165" s="8"/>
    </row>
    <row r="166" spans="2:6" x14ac:dyDescent="0.3">
      <c r="B166" s="7">
        <v>41487</v>
      </c>
      <c r="C166" s="11">
        <v>1633</v>
      </c>
      <c r="D166" s="2">
        <f t="shared" si="5"/>
        <v>-3.126297680488821E-2</v>
      </c>
      <c r="E166" s="8"/>
      <c r="F166" s="8"/>
    </row>
    <row r="167" spans="2:6" x14ac:dyDescent="0.3">
      <c r="B167" s="7">
        <v>41518</v>
      </c>
      <c r="C167" s="11">
        <v>1681.5</v>
      </c>
      <c r="D167" s="2">
        <f t="shared" si="5"/>
        <v>2.9699938763012801E-2</v>
      </c>
      <c r="E167" s="8"/>
      <c r="F167" s="8"/>
    </row>
    <row r="168" spans="2:6" x14ac:dyDescent="0.3">
      <c r="B168" s="7">
        <v>41548</v>
      </c>
      <c r="C168" s="11">
        <v>1756.5</v>
      </c>
      <c r="D168" s="2">
        <f t="shared" si="5"/>
        <v>4.4603033006244353E-2</v>
      </c>
      <c r="E168" s="8"/>
      <c r="F168" s="8"/>
    </row>
    <row r="169" spans="2:6" x14ac:dyDescent="0.3">
      <c r="B169" s="7">
        <v>41579</v>
      </c>
      <c r="C169" s="11">
        <v>1805.8</v>
      </c>
      <c r="D169" s="2">
        <f t="shared" si="5"/>
        <v>2.8067179049245716E-2</v>
      </c>
      <c r="E169" s="8"/>
      <c r="F169" s="8"/>
    </row>
    <row r="170" spans="2:6" x14ac:dyDescent="0.3">
      <c r="B170" s="7">
        <v>41609</v>
      </c>
      <c r="C170" s="11">
        <v>1848.4</v>
      </c>
      <c r="D170" s="2">
        <f t="shared" si="5"/>
        <v>2.3590652342452278E-2</v>
      </c>
      <c r="E170" s="8"/>
      <c r="F170" s="8"/>
    </row>
    <row r="171" spans="2:6" x14ac:dyDescent="0.3">
      <c r="B171" s="7">
        <v>41640</v>
      </c>
      <c r="C171" s="11">
        <v>1782.6</v>
      </c>
      <c r="D171" s="2">
        <f t="shared" si="5"/>
        <v>-3.5598355334343301E-2</v>
      </c>
      <c r="E171" s="8"/>
      <c r="F171" s="8"/>
    </row>
    <row r="172" spans="2:6" x14ac:dyDescent="0.3">
      <c r="B172" s="7">
        <v>41671</v>
      </c>
      <c r="C172" s="11">
        <v>1859.45</v>
      </c>
      <c r="D172" s="2">
        <f t="shared" si="5"/>
        <v>4.3111185908224048E-2</v>
      </c>
      <c r="E172" s="8"/>
      <c r="F172" s="8"/>
    </row>
    <row r="173" spans="2:6" x14ac:dyDescent="0.3">
      <c r="B173" s="7">
        <v>41699</v>
      </c>
      <c r="C173" s="11">
        <v>1872.34</v>
      </c>
      <c r="D173" s="2">
        <f t="shared" si="5"/>
        <v>6.9321573583585039E-3</v>
      </c>
      <c r="E173" s="8"/>
      <c r="F173" s="8"/>
    </row>
    <row r="174" spans="2:6" x14ac:dyDescent="0.3">
      <c r="B174" s="7">
        <v>41730</v>
      </c>
      <c r="C174" s="11">
        <v>1883.95</v>
      </c>
      <c r="D174" s="2">
        <f t="shared" si="5"/>
        <v>6.2007968638175814E-3</v>
      </c>
      <c r="E174" s="8"/>
      <c r="F174" s="8"/>
    </row>
    <row r="175" spans="2:6" x14ac:dyDescent="0.3">
      <c r="B175" s="7">
        <v>41760</v>
      </c>
      <c r="C175" s="11">
        <v>1923.57</v>
      </c>
      <c r="D175" s="2">
        <f t="shared" si="5"/>
        <v>2.1030282120013677E-2</v>
      </c>
      <c r="E175" s="8"/>
      <c r="F175" s="8"/>
    </row>
    <row r="176" spans="2:6" x14ac:dyDescent="0.3">
      <c r="B176" s="7">
        <v>41791</v>
      </c>
      <c r="C176" s="11">
        <v>1960.23</v>
      </c>
      <c r="D176" s="2">
        <f t="shared" si="5"/>
        <v>1.9058313448431896E-2</v>
      </c>
      <c r="E176" s="8"/>
      <c r="F176" s="8"/>
    </row>
    <row r="177" spans="2:6" x14ac:dyDescent="0.3">
      <c r="B177" s="7">
        <v>41821</v>
      </c>
      <c r="C177" s="11">
        <v>1930.67</v>
      </c>
      <c r="D177" s="2">
        <f t="shared" si="5"/>
        <v>-1.5079863077291922E-2</v>
      </c>
      <c r="E177" s="8"/>
      <c r="F177" s="8"/>
    </row>
    <row r="178" spans="2:6" x14ac:dyDescent="0.3">
      <c r="B178" s="7">
        <v>41852</v>
      </c>
      <c r="C178" s="11">
        <v>2003.37</v>
      </c>
      <c r="D178" s="2">
        <f t="shared" si="5"/>
        <v>3.7655321727690261E-2</v>
      </c>
      <c r="E178" s="8"/>
      <c r="F178" s="8"/>
    </row>
    <row r="179" spans="2:6" x14ac:dyDescent="0.3">
      <c r="B179" s="7">
        <v>41883</v>
      </c>
      <c r="C179" s="11">
        <v>1972.29</v>
      </c>
      <c r="D179" s="2">
        <f t="shared" si="5"/>
        <v>-1.5513859147336717E-2</v>
      </c>
      <c r="E179" s="8"/>
      <c r="F179" s="8"/>
    </row>
    <row r="180" spans="2:6" x14ac:dyDescent="0.3">
      <c r="B180" s="7">
        <v>41913</v>
      </c>
      <c r="C180" s="11">
        <v>2018.05</v>
      </c>
      <c r="D180" s="2">
        <f t="shared" si="5"/>
        <v>2.3201456175308888E-2</v>
      </c>
      <c r="E180" s="8"/>
      <c r="F180" s="8"/>
    </row>
    <row r="181" spans="2:6" x14ac:dyDescent="0.3">
      <c r="B181" s="7">
        <v>41944</v>
      </c>
      <c r="C181" s="11">
        <v>2067.56</v>
      </c>
      <c r="D181" s="2">
        <f t="shared" si="5"/>
        <v>2.4533584400783015E-2</v>
      </c>
      <c r="E181" s="8"/>
      <c r="F181" s="8"/>
    </row>
    <row r="182" spans="2:6" x14ac:dyDescent="0.3">
      <c r="B182" s="7">
        <v>41974</v>
      </c>
      <c r="C182" s="11">
        <v>2058.9</v>
      </c>
      <c r="D182" s="2">
        <f t="shared" si="5"/>
        <v>-4.1885120625277938E-3</v>
      </c>
      <c r="E182" s="8"/>
      <c r="F182" s="8"/>
    </row>
    <row r="183" spans="2:6" x14ac:dyDescent="0.3">
      <c r="B183" s="7">
        <v>42005</v>
      </c>
      <c r="C183" s="11">
        <v>1994.99</v>
      </c>
      <c r="D183" s="2">
        <f t="shared" si="5"/>
        <v>-3.1040847054252363E-2</v>
      </c>
      <c r="E183" s="8"/>
      <c r="F183" s="8"/>
    </row>
    <row r="184" spans="2:6" x14ac:dyDescent="0.3">
      <c r="B184" s="7">
        <v>42036</v>
      </c>
      <c r="C184" s="11">
        <v>2104.5</v>
      </c>
      <c r="D184" s="2">
        <f t="shared" si="5"/>
        <v>5.4892505726845675E-2</v>
      </c>
      <c r="E184" s="8"/>
      <c r="F184" s="8"/>
    </row>
    <row r="185" spans="2:6" x14ac:dyDescent="0.3">
      <c r="B185" s="7">
        <v>42064</v>
      </c>
      <c r="C185" s="11">
        <v>2067.89</v>
      </c>
      <c r="D185" s="2">
        <f t="shared" si="5"/>
        <v>-1.7396056070325572E-2</v>
      </c>
      <c r="E185" s="8"/>
      <c r="F185" s="8"/>
    </row>
    <row r="186" spans="2:6" x14ac:dyDescent="0.3">
      <c r="B186" s="7">
        <v>42095</v>
      </c>
      <c r="C186" s="11">
        <v>2085.5100000000002</v>
      </c>
      <c r="D186" s="2">
        <f t="shared" si="5"/>
        <v>8.5207627098153882E-3</v>
      </c>
      <c r="E186" s="8"/>
      <c r="F186" s="8"/>
    </row>
    <row r="187" spans="2:6" x14ac:dyDescent="0.3">
      <c r="B187" s="7">
        <v>42125</v>
      </c>
      <c r="C187" s="11">
        <v>2107.39</v>
      </c>
      <c r="D187" s="2">
        <f t="shared" si="5"/>
        <v>1.0491438545008114E-2</v>
      </c>
      <c r="E187" s="8"/>
      <c r="F187" s="8"/>
    </row>
    <row r="188" spans="2:6" x14ac:dyDescent="0.3">
      <c r="B188" s="7">
        <v>42156</v>
      </c>
      <c r="C188" s="11">
        <v>2063.11</v>
      </c>
      <c r="D188" s="2">
        <f t="shared" si="5"/>
        <v>-2.10117728564716E-2</v>
      </c>
      <c r="E188" s="8"/>
      <c r="F188" s="8"/>
    </row>
    <row r="189" spans="2:6" x14ac:dyDescent="0.3">
      <c r="B189" s="7">
        <v>42186</v>
      </c>
      <c r="C189" s="11">
        <v>2103.84</v>
      </c>
      <c r="D189" s="2">
        <f t="shared" si="5"/>
        <v>1.9742039930008559E-2</v>
      </c>
      <c r="E189" s="8"/>
      <c r="F189" s="8"/>
    </row>
    <row r="190" spans="2:6" x14ac:dyDescent="0.3">
      <c r="B190" s="7">
        <v>42217</v>
      </c>
      <c r="C190" s="11">
        <v>1972.18</v>
      </c>
      <c r="D190" s="2">
        <f t="shared" si="5"/>
        <v>-6.258080462392579E-2</v>
      </c>
      <c r="E190" s="8"/>
      <c r="F190" s="8"/>
    </row>
    <row r="191" spans="2:6" x14ac:dyDescent="0.3">
      <c r="B191" s="7">
        <v>42248</v>
      </c>
      <c r="C191" s="11">
        <v>1920.03</v>
      </c>
      <c r="D191" s="2">
        <f t="shared" si="5"/>
        <v>-2.6442819620927094E-2</v>
      </c>
      <c r="E191" s="8"/>
      <c r="F191" s="8"/>
    </row>
    <row r="192" spans="2:6" x14ac:dyDescent="0.3">
      <c r="B192" s="7">
        <v>42278</v>
      </c>
      <c r="C192" s="11">
        <v>2079.36</v>
      </c>
      <c r="D192" s="2">
        <f t="shared" si="5"/>
        <v>8.2983078389400333E-2</v>
      </c>
      <c r="E192" s="8"/>
      <c r="F192" s="8"/>
    </row>
    <row r="193" spans="2:6" x14ac:dyDescent="0.3">
      <c r="B193" s="7">
        <v>42309</v>
      </c>
      <c r="C193" s="11">
        <v>2080.41</v>
      </c>
      <c r="D193" s="2">
        <f t="shared" si="5"/>
        <v>5.0496306555847248E-4</v>
      </c>
      <c r="E193" s="8"/>
      <c r="F193" s="8"/>
    </row>
    <row r="194" spans="2:6" x14ac:dyDescent="0.3">
      <c r="B194" s="7">
        <v>42339</v>
      </c>
      <c r="C194" s="11">
        <v>2043.94</v>
      </c>
      <c r="D194" s="2">
        <f t="shared" si="5"/>
        <v>-1.7530198374358763E-2</v>
      </c>
      <c r="E194" s="8"/>
      <c r="F194" s="8"/>
    </row>
    <row r="195" spans="2:6" x14ac:dyDescent="0.3">
      <c r="B195" s="7">
        <v>42370</v>
      </c>
      <c r="C195" s="11">
        <v>1940.24</v>
      </c>
      <c r="D195" s="2">
        <f t="shared" si="5"/>
        <v>-5.0735344481736222E-2</v>
      </c>
      <c r="E195" s="8"/>
      <c r="F195" s="8"/>
    </row>
    <row r="196" spans="2:6" x14ac:dyDescent="0.3">
      <c r="B196" s="7">
        <v>42401</v>
      </c>
      <c r="C196" s="11">
        <v>1932.23</v>
      </c>
      <c r="D196" s="2">
        <f t="shared" ref="D196:D259" si="6">C196/C195-1</f>
        <v>-4.1283552550199776E-3</v>
      </c>
      <c r="E196" s="8"/>
      <c r="F196" s="8"/>
    </row>
    <row r="197" spans="2:6" x14ac:dyDescent="0.3">
      <c r="B197" s="7">
        <v>42430</v>
      </c>
      <c r="C197" s="11">
        <v>2059.7399999999998</v>
      </c>
      <c r="D197" s="2">
        <f t="shared" si="6"/>
        <v>6.5991108718941094E-2</v>
      </c>
      <c r="E197" s="8"/>
      <c r="F197" s="8"/>
    </row>
    <row r="198" spans="2:6" x14ac:dyDescent="0.3">
      <c r="B198" s="7">
        <v>42461</v>
      </c>
      <c r="C198" s="11">
        <v>2065.3000000000002</v>
      </c>
      <c r="D198" s="2">
        <f t="shared" si="6"/>
        <v>2.69936982337593E-3</v>
      </c>
      <c r="E198" s="8"/>
    </row>
    <row r="199" spans="2:6" x14ac:dyDescent="0.3">
      <c r="B199" s="7">
        <v>42491</v>
      </c>
      <c r="C199" s="11">
        <v>2096.96</v>
      </c>
      <c r="D199" s="2">
        <f t="shared" si="6"/>
        <v>1.5329492083474561E-2</v>
      </c>
      <c r="E199" s="8"/>
    </row>
    <row r="200" spans="2:6" x14ac:dyDescent="0.3">
      <c r="B200" s="7">
        <v>42522</v>
      </c>
      <c r="C200" s="11">
        <v>2098.86</v>
      </c>
      <c r="D200" s="2">
        <f t="shared" si="6"/>
        <v>9.0607355409733081E-4</v>
      </c>
    </row>
    <row r="201" spans="2:6" x14ac:dyDescent="0.3">
      <c r="B201" s="7">
        <v>42552</v>
      </c>
      <c r="C201" s="11">
        <v>2173.6</v>
      </c>
      <c r="D201" s="2">
        <f t="shared" si="6"/>
        <v>3.5609807228685897E-2</v>
      </c>
    </row>
    <row r="202" spans="2:6" x14ac:dyDescent="0.3">
      <c r="B202" s="7">
        <v>42583</v>
      </c>
      <c r="C202" s="11">
        <v>2170.9499999999998</v>
      </c>
      <c r="D202" s="2">
        <f t="shared" si="6"/>
        <v>-1.2191755612808164E-3</v>
      </c>
    </row>
    <row r="203" spans="2:6" x14ac:dyDescent="0.3">
      <c r="B203" s="7">
        <v>42614</v>
      </c>
      <c r="C203" s="11">
        <v>2168.27</v>
      </c>
      <c r="D203" s="2">
        <f t="shared" si="6"/>
        <v>-1.2344825997834263E-3</v>
      </c>
    </row>
    <row r="204" spans="2:6" x14ac:dyDescent="0.3">
      <c r="B204" s="7">
        <v>42644</v>
      </c>
      <c r="C204" s="11">
        <v>2126.15</v>
      </c>
      <c r="D204" s="2">
        <f t="shared" si="6"/>
        <v>-1.9425625037472249E-2</v>
      </c>
    </row>
    <row r="205" spans="2:6" x14ac:dyDescent="0.3">
      <c r="B205" s="7">
        <v>42675</v>
      </c>
      <c r="C205" s="11">
        <v>2198.81</v>
      </c>
      <c r="D205" s="2">
        <f t="shared" si="6"/>
        <v>3.4174446769983158E-2</v>
      </c>
    </row>
    <row r="206" spans="2:6" x14ac:dyDescent="0.3">
      <c r="B206" s="7">
        <v>42705</v>
      </c>
      <c r="C206" s="11">
        <v>2238.83</v>
      </c>
      <c r="D206" s="2">
        <f t="shared" si="6"/>
        <v>1.8200754044233047E-2</v>
      </c>
    </row>
    <row r="207" spans="2:6" x14ac:dyDescent="0.3">
      <c r="B207" s="7">
        <v>42736</v>
      </c>
      <c r="C207" s="11">
        <v>2278.87</v>
      </c>
      <c r="D207" s="2">
        <f t="shared" si="6"/>
        <v>1.7884341374735824E-2</v>
      </c>
    </row>
    <row r="208" spans="2:6" x14ac:dyDescent="0.3">
      <c r="B208" s="7">
        <v>42767</v>
      </c>
      <c r="C208" s="11">
        <v>2363.64</v>
      </c>
      <c r="D208" s="2">
        <f t="shared" si="6"/>
        <v>3.7198260541408734E-2</v>
      </c>
      <c r="E208" s="8"/>
    </row>
    <row r="209" spans="2:6" x14ac:dyDescent="0.3">
      <c r="B209" s="7">
        <v>42795</v>
      </c>
      <c r="C209" s="11">
        <v>2362.7199999999998</v>
      </c>
      <c r="D209" s="2">
        <f t="shared" si="6"/>
        <v>-3.8923017041514463E-4</v>
      </c>
      <c r="E209" s="8"/>
    </row>
    <row r="210" spans="2:6" x14ac:dyDescent="0.3">
      <c r="B210" s="7">
        <v>42826</v>
      </c>
      <c r="C210" s="11">
        <v>2384.1999999999998</v>
      </c>
      <c r="D210" s="2">
        <f t="shared" si="6"/>
        <v>9.0912169025529899E-3</v>
      </c>
      <c r="E210" s="8"/>
      <c r="F210" s="8"/>
    </row>
    <row r="211" spans="2:6" x14ac:dyDescent="0.3">
      <c r="B211" s="7">
        <v>42856</v>
      </c>
      <c r="C211" s="11">
        <v>2411.8000000000002</v>
      </c>
      <c r="D211" s="2">
        <f t="shared" si="6"/>
        <v>1.1576210049492719E-2</v>
      </c>
      <c r="E211" s="8"/>
      <c r="F211" s="8"/>
    </row>
    <row r="212" spans="2:6" x14ac:dyDescent="0.3">
      <c r="B212" s="7">
        <v>42887</v>
      </c>
      <c r="C212" s="11">
        <v>2423.41</v>
      </c>
      <c r="D212" s="2">
        <f t="shared" si="6"/>
        <v>4.8138319927024664E-3</v>
      </c>
      <c r="E212" s="8"/>
      <c r="F212" s="8"/>
    </row>
    <row r="213" spans="2:6" x14ac:dyDescent="0.3">
      <c r="B213" s="7">
        <v>42917</v>
      </c>
      <c r="C213" s="11">
        <v>2470.3000000000002</v>
      </c>
      <c r="D213" s="2">
        <f t="shared" si="6"/>
        <v>1.9348768883515444E-2</v>
      </c>
      <c r="E213" s="8"/>
      <c r="F213" s="8"/>
    </row>
    <row r="214" spans="2:6" x14ac:dyDescent="0.3">
      <c r="B214" s="7">
        <v>42948</v>
      </c>
      <c r="C214" s="11">
        <v>2471.65</v>
      </c>
      <c r="D214" s="2">
        <f t="shared" si="6"/>
        <v>5.4649232886694321E-4</v>
      </c>
      <c r="E214" s="8"/>
      <c r="F214" s="8"/>
    </row>
    <row r="215" spans="2:6" x14ac:dyDescent="0.3">
      <c r="B215" s="7">
        <v>42979</v>
      </c>
      <c r="C215" s="11">
        <v>2519.36</v>
      </c>
      <c r="D215" s="2">
        <f t="shared" si="6"/>
        <v>1.9302894827342154E-2</v>
      </c>
      <c r="E215" s="8"/>
      <c r="F215" s="8"/>
    </row>
    <row r="216" spans="2:6" x14ac:dyDescent="0.3">
      <c r="B216" s="7">
        <v>43009</v>
      </c>
      <c r="C216" s="11">
        <v>2575.2600000000002</v>
      </c>
      <c r="D216" s="2">
        <f t="shared" si="6"/>
        <v>2.2188174774546043E-2</v>
      </c>
      <c r="E216" s="8"/>
      <c r="F216" s="8"/>
    </row>
    <row r="217" spans="2:6" x14ac:dyDescent="0.3">
      <c r="B217" s="7">
        <v>43040</v>
      </c>
      <c r="C217" s="11">
        <v>2647.58</v>
      </c>
      <c r="D217" s="2">
        <f t="shared" si="6"/>
        <v>2.8082601368405458E-2</v>
      </c>
      <c r="E217" s="8"/>
      <c r="F217" s="8"/>
    </row>
    <row r="218" spans="2:6" x14ac:dyDescent="0.3">
      <c r="B218" s="7">
        <v>43070</v>
      </c>
      <c r="C218" s="11">
        <v>2673.61</v>
      </c>
      <c r="D218" s="2">
        <f t="shared" si="6"/>
        <v>9.8316198188534987E-3</v>
      </c>
      <c r="E218" s="8"/>
      <c r="F218" s="8"/>
    </row>
    <row r="219" spans="2:6" x14ac:dyDescent="0.3">
      <c r="B219" s="7">
        <v>43101</v>
      </c>
      <c r="C219" s="11">
        <v>2823.81</v>
      </c>
      <c r="D219" s="2">
        <f t="shared" si="6"/>
        <v>5.6178724645703726E-2</v>
      </c>
      <c r="E219" s="8"/>
      <c r="F219" s="8"/>
    </row>
    <row r="220" spans="2:6" x14ac:dyDescent="0.3">
      <c r="B220" s="7">
        <v>43132</v>
      </c>
      <c r="C220" s="11">
        <v>2713.83</v>
      </c>
      <c r="D220" s="2">
        <f t="shared" si="6"/>
        <v>-3.8947379604151844E-2</v>
      </c>
      <c r="E220" s="8"/>
      <c r="F220" s="8"/>
    </row>
    <row r="221" spans="2:6" x14ac:dyDescent="0.3">
      <c r="B221" s="7">
        <v>43160</v>
      </c>
      <c r="C221" s="11">
        <v>2640.87</v>
      </c>
      <c r="D221" s="2">
        <f t="shared" si="6"/>
        <v>-2.6884513768364315E-2</v>
      </c>
      <c r="E221" s="8"/>
      <c r="F221" s="8"/>
    </row>
    <row r="222" spans="2:6" x14ac:dyDescent="0.3">
      <c r="B222" s="7">
        <v>43191</v>
      </c>
      <c r="C222" s="11">
        <v>2648.05</v>
      </c>
      <c r="D222" s="2">
        <f t="shared" si="6"/>
        <v>2.718801001185378E-3</v>
      </c>
      <c r="E222" s="8"/>
      <c r="F222" s="8"/>
    </row>
    <row r="223" spans="2:6" x14ac:dyDescent="0.3">
      <c r="B223" s="7">
        <v>43221</v>
      </c>
      <c r="C223" s="11">
        <v>2705.27</v>
      </c>
      <c r="D223" s="2">
        <f t="shared" si="6"/>
        <v>2.1608353316591389E-2</v>
      </c>
      <c r="E223" s="8"/>
      <c r="F223" s="8"/>
    </row>
    <row r="224" spans="2:6" x14ac:dyDescent="0.3">
      <c r="B224" s="7">
        <v>43252</v>
      </c>
      <c r="C224" s="11">
        <v>2718.37</v>
      </c>
      <c r="D224" s="2">
        <f t="shared" si="6"/>
        <v>4.8424002040461378E-3</v>
      </c>
      <c r="E224" s="8"/>
      <c r="F224" s="8"/>
    </row>
    <row r="225" spans="2:6" x14ac:dyDescent="0.3">
      <c r="B225" s="7">
        <v>43282</v>
      </c>
      <c r="C225" s="11">
        <v>2816.29</v>
      </c>
      <c r="D225" s="2">
        <f t="shared" si="6"/>
        <v>3.6021586465418753E-2</v>
      </c>
      <c r="E225" s="8"/>
      <c r="F225" s="8"/>
    </row>
    <row r="226" spans="2:6" x14ac:dyDescent="0.3">
      <c r="B226" s="7">
        <v>43313</v>
      </c>
      <c r="C226" s="11">
        <v>2901.52</v>
      </c>
      <c r="D226" s="2">
        <f t="shared" si="6"/>
        <v>3.0263218631604083E-2</v>
      </c>
      <c r="E226" s="8"/>
      <c r="F226" s="8"/>
    </row>
    <row r="227" spans="2:6" x14ac:dyDescent="0.3">
      <c r="B227" s="7">
        <v>43344</v>
      </c>
      <c r="C227" s="11">
        <v>2913.98</v>
      </c>
      <c r="D227" s="2">
        <f t="shared" si="6"/>
        <v>4.2943009181395375E-3</v>
      </c>
      <c r="E227" s="8"/>
      <c r="F227" s="8"/>
    </row>
    <row r="228" spans="2:6" x14ac:dyDescent="0.3">
      <c r="B228" s="7">
        <v>43374</v>
      </c>
      <c r="C228" s="11">
        <v>2711.74</v>
      </c>
      <c r="D228" s="2">
        <f t="shared" si="6"/>
        <v>-6.9403358979814644E-2</v>
      </c>
      <c r="E228" s="8"/>
      <c r="F228" s="8"/>
    </row>
    <row r="229" spans="2:6" x14ac:dyDescent="0.3">
      <c r="B229" s="7">
        <v>43405</v>
      </c>
      <c r="C229" s="11">
        <v>2760.17</v>
      </c>
      <c r="D229" s="2">
        <f t="shared" si="6"/>
        <v>1.785938179914015E-2</v>
      </c>
      <c r="E229" s="8"/>
      <c r="F229" s="8"/>
    </row>
    <row r="230" spans="2:6" x14ac:dyDescent="0.3">
      <c r="B230" s="7">
        <v>43435</v>
      </c>
      <c r="C230" s="11">
        <v>2506.85</v>
      </c>
      <c r="D230" s="2">
        <f t="shared" si="6"/>
        <v>-9.1776955767217339E-2</v>
      </c>
      <c r="E230" s="8"/>
      <c r="F230" s="8"/>
    </row>
    <row r="231" spans="2:6" x14ac:dyDescent="0.3">
      <c r="B231" s="7">
        <v>43466</v>
      </c>
      <c r="C231" s="11">
        <v>2704.1</v>
      </c>
      <c r="D231" s="2">
        <f t="shared" si="6"/>
        <v>7.8684404731036883E-2</v>
      </c>
      <c r="E231" s="8"/>
      <c r="F231" s="8"/>
    </row>
    <row r="232" spans="2:6" x14ac:dyDescent="0.3">
      <c r="B232" s="7">
        <v>43497</v>
      </c>
      <c r="C232" s="11">
        <v>2784.49</v>
      </c>
      <c r="D232" s="2">
        <f t="shared" si="6"/>
        <v>2.9728930143116061E-2</v>
      </c>
      <c r="E232" s="8"/>
      <c r="F232" s="8"/>
    </row>
    <row r="233" spans="2:6" x14ac:dyDescent="0.3">
      <c r="B233" s="7">
        <v>43525</v>
      </c>
      <c r="C233" s="11">
        <v>2834.4</v>
      </c>
      <c r="D233" s="2">
        <f t="shared" si="6"/>
        <v>1.7924287751078349E-2</v>
      </c>
      <c r="E233" s="8"/>
      <c r="F233" s="8"/>
    </row>
    <row r="234" spans="2:6" x14ac:dyDescent="0.3">
      <c r="B234" s="7">
        <v>43556</v>
      </c>
      <c r="C234" s="11">
        <v>2945.83</v>
      </c>
      <c r="D234" s="2">
        <f t="shared" si="6"/>
        <v>3.9313434942139347E-2</v>
      </c>
      <c r="E234" s="8"/>
      <c r="F234" s="8"/>
    </row>
    <row r="235" spans="2:6" x14ac:dyDescent="0.3">
      <c r="B235" s="7">
        <v>43586</v>
      </c>
      <c r="C235" s="11">
        <v>2752.06</v>
      </c>
      <c r="D235" s="2">
        <f t="shared" si="6"/>
        <v>-6.5777726481161536E-2</v>
      </c>
      <c r="E235" s="8"/>
      <c r="F235" s="8"/>
    </row>
    <row r="236" spans="2:6" x14ac:dyDescent="0.3">
      <c r="B236" s="7">
        <v>43617</v>
      </c>
      <c r="C236" s="11">
        <v>2941.76</v>
      </c>
      <c r="D236" s="2">
        <f t="shared" si="6"/>
        <v>6.8930183208214979E-2</v>
      </c>
      <c r="E236" s="8"/>
      <c r="F236" s="8"/>
    </row>
    <row r="237" spans="2:6" x14ac:dyDescent="0.3">
      <c r="B237" s="7">
        <v>43647</v>
      </c>
      <c r="C237" s="11">
        <v>2980.38</v>
      </c>
      <c r="D237" s="2">
        <f t="shared" si="6"/>
        <v>1.3128195366039375E-2</v>
      </c>
      <c r="E237" s="8"/>
      <c r="F237" s="8"/>
    </row>
    <row r="238" spans="2:6" x14ac:dyDescent="0.3">
      <c r="B238" s="7">
        <v>43678</v>
      </c>
      <c r="C238" s="11">
        <v>2926.46</v>
      </c>
      <c r="D238" s="2">
        <f t="shared" si="6"/>
        <v>-1.8091652742267761E-2</v>
      </c>
      <c r="E238" s="8"/>
      <c r="F238" s="8"/>
    </row>
    <row r="239" spans="2:6" x14ac:dyDescent="0.3">
      <c r="B239" s="7">
        <v>43709</v>
      </c>
      <c r="C239" s="11">
        <v>2976.74</v>
      </c>
      <c r="D239" s="2">
        <f t="shared" si="6"/>
        <v>1.7181167690656807E-2</v>
      </c>
      <c r="E239" s="8"/>
      <c r="F239" s="8"/>
    </row>
    <row r="240" spans="2:6" x14ac:dyDescent="0.3">
      <c r="B240" s="7">
        <v>43739</v>
      </c>
      <c r="C240" s="11">
        <v>3037.56</v>
      </c>
      <c r="D240" s="2">
        <f t="shared" si="6"/>
        <v>2.0431747482144935E-2</v>
      </c>
      <c r="E240" s="8"/>
      <c r="F240" s="8"/>
    </row>
    <row r="241" spans="2:6" x14ac:dyDescent="0.3">
      <c r="B241" s="7">
        <v>43770</v>
      </c>
      <c r="C241" s="11">
        <v>3140.98</v>
      </c>
      <c r="D241" s="2">
        <f t="shared" si="6"/>
        <v>3.404706409091518E-2</v>
      </c>
      <c r="E241" s="8"/>
      <c r="F241" s="8"/>
    </row>
    <row r="242" spans="2:6" x14ac:dyDescent="0.3">
      <c r="B242" s="7">
        <v>43800</v>
      </c>
      <c r="C242" s="11">
        <v>3230.78</v>
      </c>
      <c r="D242" s="2">
        <f t="shared" si="6"/>
        <v>2.8589803182446305E-2</v>
      </c>
      <c r="E242" s="8"/>
      <c r="F242" s="8"/>
    </row>
    <row r="243" spans="2:6" x14ac:dyDescent="0.3">
      <c r="B243" s="7">
        <v>43831</v>
      </c>
      <c r="C243" s="11">
        <v>3225.52</v>
      </c>
      <c r="D243" s="2">
        <f t="shared" si="6"/>
        <v>-1.6280898111292741E-3</v>
      </c>
      <c r="E243" s="8"/>
      <c r="F243" s="8"/>
    </row>
    <row r="244" spans="2:6" x14ac:dyDescent="0.3">
      <c r="B244" s="7">
        <v>43862</v>
      </c>
      <c r="C244" s="11">
        <v>2954.22</v>
      </c>
      <c r="D244" s="2">
        <f t="shared" si="6"/>
        <v>-8.4110469009648137E-2</v>
      </c>
      <c r="E244" s="8"/>
      <c r="F244" s="8"/>
    </row>
    <row r="245" spans="2:6" x14ac:dyDescent="0.3">
      <c r="B245" s="7">
        <v>43891</v>
      </c>
      <c r="C245" s="11">
        <v>2584.59</v>
      </c>
      <c r="D245" s="2">
        <f t="shared" si="6"/>
        <v>-0.12511932083595656</v>
      </c>
      <c r="E245" s="8"/>
      <c r="F245" s="8"/>
    </row>
    <row r="246" spans="2:6" x14ac:dyDescent="0.3">
      <c r="B246" s="7">
        <v>43922</v>
      </c>
      <c r="C246" s="11">
        <v>2912.43</v>
      </c>
      <c r="D246" s="2">
        <f t="shared" si="6"/>
        <v>0.12684410293315374</v>
      </c>
      <c r="E246" s="8"/>
      <c r="F246" s="8"/>
    </row>
    <row r="247" spans="2:6" x14ac:dyDescent="0.3">
      <c r="B247" s="7">
        <v>43952</v>
      </c>
      <c r="C247" s="11">
        <v>3044.31</v>
      </c>
      <c r="D247" s="2">
        <f t="shared" si="6"/>
        <v>4.528177501261843E-2</v>
      </c>
      <c r="E247" s="8"/>
      <c r="F247" s="8"/>
    </row>
    <row r="248" spans="2:6" x14ac:dyDescent="0.3">
      <c r="B248" s="7">
        <v>43983</v>
      </c>
      <c r="C248" s="11">
        <v>3100.29</v>
      </c>
      <c r="D248" s="2">
        <f t="shared" si="6"/>
        <v>1.8388403283502663E-2</v>
      </c>
      <c r="E248" s="8"/>
      <c r="F248" s="8"/>
    </row>
    <row r="249" spans="2:6" x14ac:dyDescent="0.3">
      <c r="B249" s="7">
        <v>44013</v>
      </c>
      <c r="C249" s="11">
        <v>3271.12</v>
      </c>
      <c r="D249" s="2">
        <f t="shared" si="6"/>
        <v>5.5101296975444303E-2</v>
      </c>
      <c r="E249" s="8"/>
      <c r="F249" s="8"/>
    </row>
    <row r="250" spans="2:6" x14ac:dyDescent="0.3">
      <c r="B250" s="7">
        <v>44044</v>
      </c>
      <c r="C250" s="11">
        <v>3500.31</v>
      </c>
      <c r="D250" s="2">
        <f t="shared" si="6"/>
        <v>7.0064687324219221E-2</v>
      </c>
      <c r="E250" s="8"/>
      <c r="F250" s="8"/>
    </row>
    <row r="251" spans="2:6" x14ac:dyDescent="0.3">
      <c r="B251" s="7">
        <v>44075</v>
      </c>
      <c r="C251" s="11">
        <v>3363</v>
      </c>
      <c r="D251" s="2">
        <f t="shared" si="6"/>
        <v>-3.9227954095494399E-2</v>
      </c>
      <c r="E251" s="8"/>
      <c r="F251" s="8"/>
    </row>
    <row r="252" spans="2:6" x14ac:dyDescent="0.3">
      <c r="B252" s="7">
        <v>44105</v>
      </c>
      <c r="C252" s="11">
        <v>3269.96</v>
      </c>
      <c r="D252" s="2">
        <f t="shared" si="6"/>
        <v>-2.7665774606006499E-2</v>
      </c>
      <c r="E252" s="8"/>
      <c r="F252" s="8"/>
    </row>
    <row r="253" spans="2:6" x14ac:dyDescent="0.3">
      <c r="B253" s="7">
        <v>44136</v>
      </c>
      <c r="C253" s="11">
        <v>3621.63</v>
      </c>
      <c r="D253" s="2">
        <f t="shared" si="6"/>
        <v>0.10754565805086314</v>
      </c>
      <c r="E253" s="8"/>
      <c r="F253" s="8"/>
    </row>
    <row r="254" spans="2:6" x14ac:dyDescent="0.3">
      <c r="B254" s="7">
        <v>44166</v>
      </c>
      <c r="C254" s="11">
        <v>3756.07</v>
      </c>
      <c r="D254" s="2">
        <f t="shared" si="6"/>
        <v>3.712140665943231E-2</v>
      </c>
      <c r="E254" s="8"/>
      <c r="F254" s="8"/>
    </row>
    <row r="255" spans="2:6" x14ac:dyDescent="0.3">
      <c r="B255" s="7">
        <v>44197</v>
      </c>
      <c r="C255" s="11">
        <v>3714.24</v>
      </c>
      <c r="D255" s="2">
        <f t="shared" si="6"/>
        <v>-1.1136640158463607E-2</v>
      </c>
      <c r="E255" s="8"/>
      <c r="F255" s="8"/>
    </row>
    <row r="256" spans="2:6" x14ac:dyDescent="0.3">
      <c r="B256" s="7">
        <v>44228</v>
      </c>
      <c r="C256" s="11">
        <v>3811.15</v>
      </c>
      <c r="D256" s="2">
        <f t="shared" si="6"/>
        <v>2.6091474971999817E-2</v>
      </c>
      <c r="E256" s="8"/>
      <c r="F256" s="8"/>
    </row>
    <row r="257" spans="2:6" x14ac:dyDescent="0.3">
      <c r="B257" s="7">
        <v>44256</v>
      </c>
      <c r="C257" s="11">
        <v>3972.89</v>
      </c>
      <c r="D257" s="2">
        <f t="shared" si="6"/>
        <v>4.2438634008107767E-2</v>
      </c>
      <c r="E257" s="8"/>
      <c r="F257" s="8"/>
    </row>
    <row r="258" spans="2:6" x14ac:dyDescent="0.3">
      <c r="B258" s="7">
        <v>44287</v>
      </c>
      <c r="C258" s="11">
        <v>4181.17</v>
      </c>
      <c r="D258" s="2">
        <f t="shared" si="6"/>
        <v>5.242531255584737E-2</v>
      </c>
      <c r="E258" s="8"/>
      <c r="F258" s="8"/>
    </row>
    <row r="259" spans="2:6" x14ac:dyDescent="0.3">
      <c r="B259" s="7">
        <v>44317</v>
      </c>
      <c r="C259" s="11">
        <v>4204.1099999999997</v>
      </c>
      <c r="D259" s="2">
        <f t="shared" si="6"/>
        <v>5.4865025818131574E-3</v>
      </c>
      <c r="E259" s="8"/>
      <c r="F259" s="8"/>
    </row>
    <row r="260" spans="2:6" x14ac:dyDescent="0.3">
      <c r="B260" s="7">
        <v>44348</v>
      </c>
      <c r="C260" s="11">
        <v>4297.5</v>
      </c>
      <c r="D260" s="2">
        <f t="shared" ref="D260:D314" si="7">C260/C259-1</f>
        <v>2.221397632316946E-2</v>
      </c>
      <c r="E260" s="8"/>
      <c r="F260" s="8"/>
    </row>
    <row r="261" spans="2:6" x14ac:dyDescent="0.3">
      <c r="B261" s="7">
        <v>44378</v>
      </c>
      <c r="C261" s="11">
        <v>4395.26</v>
      </c>
      <c r="D261" s="2">
        <f t="shared" si="7"/>
        <v>2.274810936591054E-2</v>
      </c>
      <c r="E261" s="8"/>
      <c r="F261" s="8"/>
    </row>
    <row r="262" spans="2:6" x14ac:dyDescent="0.3">
      <c r="B262" s="7">
        <v>44409</v>
      </c>
      <c r="C262" s="11">
        <v>4522.68</v>
      </c>
      <c r="D262" s="2">
        <f t="shared" si="7"/>
        <v>2.8990321391681118E-2</v>
      </c>
      <c r="E262" s="8"/>
      <c r="F262" s="8"/>
    </row>
    <row r="263" spans="2:6" x14ac:dyDescent="0.3">
      <c r="B263" s="7">
        <v>44440</v>
      </c>
      <c r="C263" s="11">
        <v>4307.54</v>
      </c>
      <c r="D263" s="2">
        <f t="shared" si="7"/>
        <v>-4.7569140421166334E-2</v>
      </c>
      <c r="E263" s="8"/>
      <c r="F263" s="8"/>
    </row>
    <row r="264" spans="2:6" x14ac:dyDescent="0.3">
      <c r="B264" s="7">
        <v>44470</v>
      </c>
      <c r="C264" s="11">
        <v>4605.38</v>
      </c>
      <c r="D264" s="2">
        <f t="shared" si="7"/>
        <v>6.9143873301234615E-2</v>
      </c>
      <c r="E264" s="8"/>
      <c r="F264" s="8"/>
    </row>
    <row r="265" spans="2:6" x14ac:dyDescent="0.3">
      <c r="B265" s="7">
        <v>44501</v>
      </c>
      <c r="C265" s="11">
        <v>4567</v>
      </c>
      <c r="D265" s="2">
        <f t="shared" si="7"/>
        <v>-8.3337314184714906E-3</v>
      </c>
      <c r="E265" s="8"/>
      <c r="F265" s="8"/>
    </row>
    <row r="266" spans="2:6" x14ac:dyDescent="0.3">
      <c r="B266" s="7">
        <v>44531</v>
      </c>
      <c r="C266" s="11">
        <v>4766.18</v>
      </c>
      <c r="D266" s="2">
        <f t="shared" si="7"/>
        <v>4.3612874972629889E-2</v>
      </c>
      <c r="E266" s="8"/>
      <c r="F266" s="8"/>
    </row>
    <row r="267" spans="2:6" x14ac:dyDescent="0.3">
      <c r="B267" s="7">
        <v>44562</v>
      </c>
      <c r="C267" s="11">
        <v>4515.55</v>
      </c>
      <c r="D267" s="2">
        <f t="shared" si="7"/>
        <v>-5.2585089106999772E-2</v>
      </c>
      <c r="E267" s="8"/>
      <c r="F267" s="8"/>
    </row>
    <row r="268" spans="2:6" x14ac:dyDescent="0.3">
      <c r="B268" s="7">
        <v>44593</v>
      </c>
      <c r="C268" s="11">
        <v>4373.9399999999996</v>
      </c>
      <c r="D268" s="2">
        <f t="shared" si="7"/>
        <v>-3.1360520866782648E-2</v>
      </c>
      <c r="E268" s="8"/>
      <c r="F268" s="8"/>
    </row>
    <row r="269" spans="2:6" x14ac:dyDescent="0.3">
      <c r="B269" s="7">
        <v>44621</v>
      </c>
      <c r="C269" s="11">
        <v>4530.41</v>
      </c>
      <c r="D269" s="2">
        <f t="shared" si="7"/>
        <v>3.5773238773280092E-2</v>
      </c>
      <c r="E269" s="8"/>
    </row>
    <row r="270" spans="2:6" x14ac:dyDescent="0.3">
      <c r="B270" s="7">
        <v>44652</v>
      </c>
      <c r="C270" s="11">
        <v>4131.93</v>
      </c>
      <c r="D270" s="2">
        <f t="shared" si="7"/>
        <v>-8.7956719149039353E-2</v>
      </c>
      <c r="E270" s="8"/>
    </row>
    <row r="271" spans="2:6" x14ac:dyDescent="0.3">
      <c r="B271" s="7">
        <v>44682</v>
      </c>
      <c r="C271" s="11">
        <v>4132.1499999999996</v>
      </c>
      <c r="D271" s="2">
        <f t="shared" si="7"/>
        <v>5.3243883608722342E-5</v>
      </c>
      <c r="E271" s="8"/>
    </row>
    <row r="272" spans="2:6" x14ac:dyDescent="0.3">
      <c r="B272" s="7">
        <v>44713</v>
      </c>
      <c r="C272" s="11">
        <v>3785.38</v>
      </c>
      <c r="D272" s="2">
        <f t="shared" si="7"/>
        <v>-8.3919993223866451E-2</v>
      </c>
      <c r="E272" s="8"/>
    </row>
    <row r="273" spans="2:6" x14ac:dyDescent="0.3">
      <c r="B273" s="7">
        <v>44743</v>
      </c>
      <c r="C273" s="11">
        <v>4130.29</v>
      </c>
      <c r="D273" s="2">
        <f t="shared" si="7"/>
        <v>9.1116347632205885E-2</v>
      </c>
      <c r="E273" s="8"/>
    </row>
    <row r="274" spans="2:6" x14ac:dyDescent="0.3">
      <c r="B274" s="7">
        <v>44774</v>
      </c>
      <c r="C274" s="11">
        <v>3955</v>
      </c>
      <c r="D274" s="2">
        <f t="shared" si="7"/>
        <v>-4.2440119216810457E-2</v>
      </c>
    </row>
    <row r="275" spans="2:6" x14ac:dyDescent="0.3">
      <c r="B275" s="7">
        <v>44805</v>
      </c>
      <c r="C275" s="11">
        <v>3585.62</v>
      </c>
      <c r="D275" s="2">
        <f t="shared" si="7"/>
        <v>-9.3395701643489315E-2</v>
      </c>
    </row>
    <row r="276" spans="2:6" x14ac:dyDescent="0.3">
      <c r="B276" s="7">
        <v>44835</v>
      </c>
      <c r="C276" s="11">
        <v>3871.98</v>
      </c>
      <c r="D276" s="2">
        <f t="shared" si="7"/>
        <v>7.9863454576893256E-2</v>
      </c>
    </row>
    <row r="277" spans="2:6" x14ac:dyDescent="0.3">
      <c r="B277" s="7">
        <v>44866</v>
      </c>
      <c r="C277" s="11">
        <v>4080.11</v>
      </c>
      <c r="D277" s="2">
        <f t="shared" si="7"/>
        <v>5.3752860293699856E-2</v>
      </c>
    </row>
    <row r="278" spans="2:6" x14ac:dyDescent="0.3">
      <c r="B278" s="7">
        <v>44896</v>
      </c>
      <c r="C278" s="11">
        <v>3839.5</v>
      </c>
      <c r="D278" s="2">
        <f t="shared" si="7"/>
        <v>-5.8971449299161094E-2</v>
      </c>
    </row>
    <row r="279" spans="2:6" x14ac:dyDescent="0.3">
      <c r="B279" s="7">
        <v>44927</v>
      </c>
      <c r="C279" s="11">
        <v>4076.6</v>
      </c>
      <c r="D279" s="2">
        <f t="shared" si="7"/>
        <v>6.1752832400052027E-2</v>
      </c>
    </row>
    <row r="280" spans="2:6" x14ac:dyDescent="0.3">
      <c r="B280" s="7">
        <v>44958</v>
      </c>
      <c r="C280" s="11">
        <v>3970.15</v>
      </c>
      <c r="D280" s="2">
        <f t="shared" si="7"/>
        <v>-2.6112446646715304E-2</v>
      </c>
    </row>
    <row r="281" spans="2:6" x14ac:dyDescent="0.3">
      <c r="B281" s="7">
        <v>44986</v>
      </c>
      <c r="C281" s="11">
        <v>4109.3100000000004</v>
      </c>
      <c r="D281" s="2">
        <f t="shared" si="7"/>
        <v>3.5051572358727023E-2</v>
      </c>
    </row>
    <row r="282" spans="2:6" x14ac:dyDescent="0.3">
      <c r="B282" s="7">
        <v>45017</v>
      </c>
      <c r="C282" s="11">
        <v>4169.4799999999996</v>
      </c>
      <c r="D282" s="2">
        <f t="shared" si="7"/>
        <v>1.464236088297044E-2</v>
      </c>
    </row>
    <row r="283" spans="2:6" x14ac:dyDescent="0.3">
      <c r="B283" s="7">
        <v>45047</v>
      </c>
      <c r="C283" s="11">
        <v>4179.83</v>
      </c>
      <c r="D283" s="2">
        <f t="shared" si="7"/>
        <v>2.4823239348792381E-3</v>
      </c>
    </row>
    <row r="284" spans="2:6" x14ac:dyDescent="0.3">
      <c r="B284" s="7">
        <v>45078</v>
      </c>
      <c r="C284" s="11">
        <v>4450.38</v>
      </c>
      <c r="D284" s="2">
        <f t="shared" si="7"/>
        <v>6.4727512841431301E-2</v>
      </c>
    </row>
    <row r="285" spans="2:6" x14ac:dyDescent="0.3">
      <c r="B285" s="7">
        <v>45108</v>
      </c>
      <c r="C285" s="11">
        <v>4588.96</v>
      </c>
      <c r="D285" s="2">
        <f t="shared" si="7"/>
        <v>3.1138913980379268E-2</v>
      </c>
      <c r="E285" s="8"/>
    </row>
    <row r="286" spans="2:6" x14ac:dyDescent="0.3">
      <c r="B286" s="7">
        <v>45139</v>
      </c>
      <c r="C286" s="11">
        <v>4507.66</v>
      </c>
      <c r="D286" s="2">
        <f t="shared" si="7"/>
        <v>-1.771643248143373E-2</v>
      </c>
      <c r="E286" s="8"/>
      <c r="F286" s="8"/>
    </row>
    <row r="287" spans="2:6" x14ac:dyDescent="0.3">
      <c r="B287" s="7">
        <v>45170</v>
      </c>
      <c r="C287" s="11">
        <v>4288.05</v>
      </c>
      <c r="D287" s="2">
        <f t="shared" si="7"/>
        <v>-4.871929116215501E-2</v>
      </c>
      <c r="E287" s="8"/>
      <c r="F287" s="8"/>
    </row>
    <row r="288" spans="2:6" x14ac:dyDescent="0.3">
      <c r="B288" s="7">
        <v>45200</v>
      </c>
      <c r="C288" s="11">
        <v>4193.8</v>
      </c>
      <c r="D288" s="2">
        <f t="shared" si="7"/>
        <v>-2.1979687736850106E-2</v>
      </c>
      <c r="E288" s="8"/>
      <c r="F288" s="8"/>
    </row>
    <row r="289" spans="2:6" x14ac:dyDescent="0.3">
      <c r="B289" s="7">
        <v>45231</v>
      </c>
      <c r="C289" s="11">
        <v>4567.8</v>
      </c>
      <c r="D289" s="2">
        <f t="shared" si="7"/>
        <v>8.9179264628737709E-2</v>
      </c>
      <c r="E289" s="8"/>
      <c r="F289" s="8"/>
    </row>
    <row r="290" spans="2:6" x14ac:dyDescent="0.3">
      <c r="B290" s="7">
        <v>45261</v>
      </c>
      <c r="C290" s="11">
        <v>4769.83</v>
      </c>
      <c r="D290" s="2">
        <f t="shared" si="7"/>
        <v>4.4229169403213753E-2</v>
      </c>
      <c r="E290" s="8"/>
      <c r="F290" s="8"/>
    </row>
    <row r="291" spans="2:6" x14ac:dyDescent="0.3">
      <c r="B291" s="7">
        <v>45292</v>
      </c>
      <c r="C291" s="11">
        <v>4845.6499999999996</v>
      </c>
      <c r="D291" s="2">
        <f t="shared" si="7"/>
        <v>1.5895744712075555E-2</v>
      </c>
      <c r="E291" s="8"/>
      <c r="F291" s="8"/>
    </row>
    <row r="292" spans="2:6" x14ac:dyDescent="0.3">
      <c r="B292" s="7">
        <v>45323</v>
      </c>
      <c r="C292" s="11">
        <v>5096.2700000000004</v>
      </c>
      <c r="D292" s="2">
        <f t="shared" si="7"/>
        <v>5.1720615397315317E-2</v>
      </c>
      <c r="E292" s="8"/>
      <c r="F292" s="8"/>
    </row>
    <row r="293" spans="2:6" x14ac:dyDescent="0.3">
      <c r="B293" s="7">
        <v>45352</v>
      </c>
      <c r="C293" s="11">
        <v>5254.35</v>
      </c>
      <c r="D293" s="2">
        <f t="shared" si="7"/>
        <v>3.1018764704381807E-2</v>
      </c>
      <c r="E293" s="8"/>
      <c r="F293" s="8"/>
    </row>
    <row r="294" spans="2:6" x14ac:dyDescent="0.3">
      <c r="B294" s="7">
        <v>45383</v>
      </c>
      <c r="C294" s="11">
        <v>5035.6899999999996</v>
      </c>
      <c r="D294" s="2">
        <f t="shared" si="7"/>
        <v>-4.1615042774082567E-2</v>
      </c>
      <c r="E294" s="8"/>
    </row>
    <row r="295" spans="2:6" x14ac:dyDescent="0.3">
      <c r="B295" s="7">
        <v>45413</v>
      </c>
      <c r="C295" s="11">
        <v>5277.51</v>
      </c>
      <c r="D295" s="2">
        <f t="shared" si="7"/>
        <v>4.8021224499522619E-2</v>
      </c>
      <c r="E295" s="8"/>
      <c r="F295" s="8"/>
    </row>
    <row r="296" spans="2:6" x14ac:dyDescent="0.3">
      <c r="B296" s="7">
        <v>45444</v>
      </c>
      <c r="C296" s="11">
        <v>5460.48</v>
      </c>
      <c r="D296" s="2">
        <f t="shared" si="7"/>
        <v>3.4669759034089864E-2</v>
      </c>
      <c r="E296" s="8"/>
      <c r="F296" s="8"/>
    </row>
    <row r="297" spans="2:6" x14ac:dyDescent="0.3">
      <c r="B297" s="7">
        <v>45474</v>
      </c>
      <c r="C297" s="11">
        <v>5522.3</v>
      </c>
      <c r="D297" s="2">
        <f t="shared" si="7"/>
        <v>1.1321349038912354E-2</v>
      </c>
      <c r="E297" s="8"/>
      <c r="F297" s="8"/>
    </row>
    <row r="298" spans="2:6" x14ac:dyDescent="0.3">
      <c r="B298" s="7">
        <v>45505</v>
      </c>
      <c r="C298" s="11">
        <v>5648.4</v>
      </c>
      <c r="D298" s="2">
        <f t="shared" si="7"/>
        <v>2.2834688445031892E-2</v>
      </c>
      <c r="E298" s="8"/>
      <c r="F298" s="8"/>
    </row>
    <row r="299" spans="2:6" x14ac:dyDescent="0.3">
      <c r="B299" s="7">
        <v>45536</v>
      </c>
      <c r="C299" s="11">
        <v>5762.48</v>
      </c>
      <c r="D299" s="2">
        <f t="shared" si="7"/>
        <v>2.0196869910062976E-2</v>
      </c>
      <c r="E299" s="8"/>
      <c r="F299" s="8"/>
    </row>
    <row r="300" spans="2:6" x14ac:dyDescent="0.3">
      <c r="B300" s="7">
        <v>45566</v>
      </c>
      <c r="C300" s="11">
        <v>5705.45</v>
      </c>
      <c r="D300" s="2">
        <f t="shared" si="7"/>
        <v>-9.8967805528175079E-3</v>
      </c>
      <c r="E300" s="8"/>
      <c r="F300" s="8"/>
    </row>
    <row r="301" spans="2:6" x14ac:dyDescent="0.3">
      <c r="B301" s="7">
        <v>45597</v>
      </c>
      <c r="C301" s="11">
        <v>6032.38</v>
      </c>
      <c r="D301" s="2">
        <f t="shared" si="7"/>
        <v>5.7301352215863854E-2</v>
      </c>
      <c r="E301" s="8"/>
      <c r="F301" s="8"/>
    </row>
    <row r="302" spans="2:6" x14ac:dyDescent="0.3">
      <c r="B302" s="7">
        <v>45627</v>
      </c>
      <c r="C302" s="11">
        <v>5881.63</v>
      </c>
      <c r="D302" s="2">
        <f t="shared" si="7"/>
        <v>-2.4990136563014964E-2</v>
      </c>
      <c r="E302" s="8"/>
      <c r="F302" s="8"/>
    </row>
    <row r="303" spans="2:6" x14ac:dyDescent="0.3">
      <c r="B303" s="7">
        <v>45658</v>
      </c>
      <c r="C303" s="11">
        <v>6040.53</v>
      </c>
      <c r="D303" s="2">
        <f t="shared" si="7"/>
        <v>2.7016320305765618E-2</v>
      </c>
      <c r="E303" s="8"/>
      <c r="F303" s="8"/>
    </row>
    <row r="304" spans="2:6" x14ac:dyDescent="0.3">
      <c r="B304" s="7">
        <v>45689</v>
      </c>
      <c r="C304" s="11">
        <v>5954.5</v>
      </c>
      <c r="D304" s="2">
        <f t="shared" si="7"/>
        <v>-1.4242127760312417E-2</v>
      </c>
      <c r="E304" s="8"/>
      <c r="F304" s="8"/>
    </row>
    <row r="305" spans="2:6" x14ac:dyDescent="0.3">
      <c r="B305" s="7">
        <v>45717</v>
      </c>
      <c r="C305" s="11">
        <v>5611.85</v>
      </c>
      <c r="D305" s="2">
        <f t="shared" si="7"/>
        <v>-5.7544714081786852E-2</v>
      </c>
      <c r="E305" s="8"/>
      <c r="F305" s="8"/>
    </row>
    <row r="306" spans="2:6" x14ac:dyDescent="0.3">
      <c r="B306" s="7">
        <v>45748</v>
      </c>
      <c r="C306" s="11">
        <v>5569.06</v>
      </c>
      <c r="D306" s="2">
        <f t="shared" si="7"/>
        <v>-7.6249365182604611E-3</v>
      </c>
      <c r="E306" s="8"/>
      <c r="F306" s="8"/>
    </row>
    <row r="307" spans="2:6" x14ac:dyDescent="0.3">
      <c r="B307" s="7">
        <v>45778</v>
      </c>
      <c r="C307" s="11">
        <v>5911.69</v>
      </c>
      <c r="D307" s="2">
        <f t="shared" si="7"/>
        <v>6.1523847830692979E-2</v>
      </c>
      <c r="E307" s="8"/>
      <c r="F307" s="8"/>
    </row>
    <row r="308" spans="2:6" x14ac:dyDescent="0.3">
      <c r="B308" s="7">
        <v>45809</v>
      </c>
      <c r="C308" s="11">
        <v>6204.95</v>
      </c>
      <c r="D308" s="2">
        <f t="shared" si="7"/>
        <v>4.960679602617879E-2</v>
      </c>
      <c r="E308" s="8"/>
      <c r="F308" s="8"/>
    </row>
    <row r="309" spans="2:6" x14ac:dyDescent="0.3">
      <c r="B309" s="7">
        <v>45839</v>
      </c>
      <c r="C309" s="11">
        <v>6339.39</v>
      </c>
      <c r="D309" s="2">
        <f t="shared" si="7"/>
        <v>2.1666572655702376E-2</v>
      </c>
      <c r="E309" s="8"/>
      <c r="F309" s="8"/>
    </row>
    <row r="310" spans="2:6" x14ac:dyDescent="0.3">
      <c r="B310" s="7">
        <v>45870</v>
      </c>
      <c r="C310" s="11">
        <v>6460.26</v>
      </c>
      <c r="D310" s="2">
        <f t="shared" si="7"/>
        <v>1.9066503244002941E-2</v>
      </c>
      <c r="E310" s="8"/>
      <c r="F310" s="8"/>
    </row>
    <row r="311" spans="2:6" x14ac:dyDescent="0.3">
      <c r="B311" s="7">
        <v>45901</v>
      </c>
      <c r="C311" s="11">
        <v>6688.46</v>
      </c>
      <c r="D311" s="2">
        <f t="shared" si="7"/>
        <v>3.5323655704259549E-2</v>
      </c>
      <c r="E311" s="8"/>
      <c r="F311" s="8"/>
    </row>
    <row r="312" spans="2:6" x14ac:dyDescent="0.3">
      <c r="B312" s="7">
        <v>45931</v>
      </c>
      <c r="C312" s="11">
        <v>6840.2</v>
      </c>
      <c r="D312" s="2">
        <f t="shared" si="7"/>
        <v>2.2686836730727133E-2</v>
      </c>
      <c r="E312" s="8"/>
      <c r="F312" s="8"/>
    </row>
    <row r="313" spans="2:6" x14ac:dyDescent="0.3">
      <c r="B313" s="7">
        <v>45962</v>
      </c>
      <c r="C313" s="11">
        <v>6849.09</v>
      </c>
      <c r="D313" s="2">
        <f t="shared" si="7"/>
        <v>1.299669600304032E-3</v>
      </c>
      <c r="E313" s="8"/>
      <c r="F313" s="8"/>
    </row>
    <row r="314" spans="2:6" x14ac:dyDescent="0.3">
      <c r="B314" s="7">
        <v>45992</v>
      </c>
      <c r="C314" s="11">
        <v>6845.61</v>
      </c>
      <c r="D314" s="2">
        <f t="shared" si="7"/>
        <v>-5.0809669605744734E-4</v>
      </c>
      <c r="E314" s="8"/>
      <c r="F314" s="8"/>
    </row>
    <row r="317" spans="2:6" x14ac:dyDescent="0.3">
      <c r="B317" s="4" t="s">
        <v>18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4E0D-D193-41FA-BA39-C53ADA770F56}">
  <dimension ref="B2:H60"/>
  <sheetViews>
    <sheetView showGridLines="0" workbookViewId="0">
      <selection activeCell="D15" sqref="A1:XFD1048576"/>
    </sheetView>
  </sheetViews>
  <sheetFormatPr defaultRowHeight="14.4" x14ac:dyDescent="0.3"/>
  <cols>
    <col min="1" max="1" width="1.88671875" customWidth="1"/>
    <col min="2" max="2" width="9.44140625" customWidth="1"/>
    <col min="3" max="3" width="20.5546875" bestFit="1" customWidth="1"/>
    <col min="6" max="6" width="13.5546875" bestFit="1" customWidth="1"/>
  </cols>
  <sheetData>
    <row r="2" spans="2:8" x14ac:dyDescent="0.3">
      <c r="B2" s="3" t="s">
        <v>10</v>
      </c>
      <c r="C2" s="9" t="s">
        <v>21</v>
      </c>
    </row>
    <row r="3" spans="2:8" x14ac:dyDescent="0.3">
      <c r="B3">
        <v>2003</v>
      </c>
      <c r="C3" s="2">
        <v>4.8800000000000003E-2</v>
      </c>
    </row>
    <row r="4" spans="2:8" x14ac:dyDescent="0.3">
      <c r="B4">
        <f>B3+1</f>
        <v>2004</v>
      </c>
      <c r="C4" s="2">
        <v>5.1400000000000001E-2</v>
      </c>
      <c r="F4" s="3" t="s">
        <v>19</v>
      </c>
      <c r="G4" s="3" t="s">
        <v>14</v>
      </c>
      <c r="H4" s="5">
        <f>AVERAGE(C11:C25)</f>
        <v>4.0500000000000001E-2</v>
      </c>
    </row>
    <row r="5" spans="2:8" x14ac:dyDescent="0.3">
      <c r="B5">
        <f>B4+1</f>
        <v>2005</v>
      </c>
      <c r="C5" s="2">
        <v>3.4599999999999999E-2</v>
      </c>
    </row>
    <row r="6" spans="2:8" x14ac:dyDescent="0.3">
      <c r="B6">
        <f>B5+1</f>
        <v>2006</v>
      </c>
      <c r="C6" s="2">
        <v>3.5299999999999998E-2</v>
      </c>
      <c r="F6" s="3" t="s">
        <v>19</v>
      </c>
      <c r="G6" s="3" t="s">
        <v>15</v>
      </c>
      <c r="H6" s="5">
        <f>AVERAGE(C19:C25)</f>
        <v>3.3657142857142858E-2</v>
      </c>
    </row>
    <row r="7" spans="2:8" x14ac:dyDescent="0.3">
      <c r="B7">
        <f t="shared" ref="B7:B24" si="0">B6+1</f>
        <v>2007</v>
      </c>
      <c r="C7" s="2">
        <v>3.4000000000000002E-2</v>
      </c>
    </row>
    <row r="8" spans="2:8" x14ac:dyDescent="0.3">
      <c r="B8">
        <f t="shared" si="0"/>
        <v>2008</v>
      </c>
      <c r="C8" s="2">
        <v>4.5999999999999999E-2</v>
      </c>
      <c r="F8" s="3" t="s">
        <v>19</v>
      </c>
      <c r="G8" s="3" t="s">
        <v>16</v>
      </c>
      <c r="H8" s="5">
        <f>AVERAGE(C21:C25)</f>
        <v>2.9860000000000005E-2</v>
      </c>
    </row>
    <row r="9" spans="2:8" x14ac:dyDescent="0.3">
      <c r="B9">
        <f t="shared" si="0"/>
        <v>2009</v>
      </c>
      <c r="C9" s="2">
        <v>7.1900000000000006E-2</v>
      </c>
    </row>
    <row r="10" spans="2:8" x14ac:dyDescent="0.3">
      <c r="B10">
        <f t="shared" si="0"/>
        <v>2010</v>
      </c>
      <c r="C10" s="2">
        <v>4.2700000000000002E-2</v>
      </c>
      <c r="F10" s="3" t="s">
        <v>19</v>
      </c>
      <c r="G10" s="3" t="s">
        <v>20</v>
      </c>
      <c r="H10" s="5">
        <f>AVERAGE(C23:C25)</f>
        <v>2.6599999999999999E-2</v>
      </c>
    </row>
    <row r="11" spans="2:8" x14ac:dyDescent="0.3">
      <c r="B11">
        <f t="shared" si="0"/>
        <v>2011</v>
      </c>
      <c r="C11" s="2">
        <v>4.7300000000000002E-2</v>
      </c>
    </row>
    <row r="12" spans="2:8" x14ac:dyDescent="0.3">
      <c r="B12">
        <f t="shared" si="0"/>
        <v>2012</v>
      </c>
      <c r="C12" s="2">
        <v>6.0499999999999998E-2</v>
      </c>
      <c r="F12" s="3" t="s">
        <v>19</v>
      </c>
      <c r="G12" s="3" t="s">
        <v>17</v>
      </c>
      <c r="H12" s="5">
        <f>C25</f>
        <v>1.9800000000000002E-2</v>
      </c>
    </row>
    <row r="13" spans="2:8" x14ac:dyDescent="0.3">
      <c r="B13">
        <f t="shared" si="0"/>
        <v>2013</v>
      </c>
      <c r="C13" s="2">
        <v>5.4600000000000003E-2</v>
      </c>
    </row>
    <row r="14" spans="2:8" x14ac:dyDescent="0.3">
      <c r="B14">
        <f t="shared" si="0"/>
        <v>2014</v>
      </c>
      <c r="C14" s="2">
        <v>4.3499999999999997E-2</v>
      </c>
    </row>
    <row r="15" spans="2:8" x14ac:dyDescent="0.3">
      <c r="B15">
        <f t="shared" si="0"/>
        <v>2015</v>
      </c>
      <c r="C15" s="2">
        <v>4.6800000000000001E-2</v>
      </c>
    </row>
    <row r="16" spans="2:8" x14ac:dyDescent="0.3">
      <c r="B16">
        <f t="shared" si="0"/>
        <v>2016</v>
      </c>
      <c r="C16" s="2">
        <v>4.9299999999999997E-2</v>
      </c>
    </row>
    <row r="17" spans="2:3" x14ac:dyDescent="0.3">
      <c r="B17">
        <f t="shared" si="0"/>
        <v>2017</v>
      </c>
      <c r="C17" s="2">
        <v>3.73E-2</v>
      </c>
    </row>
    <row r="18" spans="2:3" x14ac:dyDescent="0.3">
      <c r="B18">
        <f t="shared" si="0"/>
        <v>2018</v>
      </c>
      <c r="C18" s="2">
        <v>3.2599999999999997E-2</v>
      </c>
    </row>
    <row r="19" spans="2:3" x14ac:dyDescent="0.3">
      <c r="B19">
        <f t="shared" si="0"/>
        <v>2019</v>
      </c>
      <c r="C19" s="2">
        <v>4.4900000000000002E-2</v>
      </c>
    </row>
    <row r="20" spans="2:3" x14ac:dyDescent="0.3">
      <c r="B20">
        <f t="shared" si="0"/>
        <v>2020</v>
      </c>
      <c r="C20" s="2">
        <v>4.1399999999999999E-2</v>
      </c>
    </row>
    <row r="21" spans="2:3" x14ac:dyDescent="0.3">
      <c r="B21">
        <f t="shared" si="0"/>
        <v>2021</v>
      </c>
      <c r="C21" s="2">
        <v>3.5700000000000003E-2</v>
      </c>
    </row>
    <row r="22" spans="2:3" x14ac:dyDescent="0.3">
      <c r="B22">
        <f t="shared" si="0"/>
        <v>2022</v>
      </c>
      <c r="C22" s="2">
        <v>3.3799999999999997E-2</v>
      </c>
    </row>
    <row r="23" spans="2:3" x14ac:dyDescent="0.3">
      <c r="B23">
        <f t="shared" si="0"/>
        <v>2023</v>
      </c>
      <c r="C23" s="2">
        <v>3.2399999999999998E-2</v>
      </c>
    </row>
    <row r="24" spans="2:3" x14ac:dyDescent="0.3">
      <c r="B24">
        <f t="shared" si="0"/>
        <v>2024</v>
      </c>
      <c r="C24" s="2">
        <v>2.76E-2</v>
      </c>
    </row>
    <row r="25" spans="2:3" x14ac:dyDescent="0.3">
      <c r="B25">
        <v>2025</v>
      </c>
      <c r="C25" s="2">
        <v>1.9800000000000002E-2</v>
      </c>
    </row>
    <row r="26" spans="2:3" x14ac:dyDescent="0.3">
      <c r="C26" s="2"/>
    </row>
    <row r="27" spans="2:3" x14ac:dyDescent="0.3">
      <c r="B27" s="4" t="s">
        <v>31</v>
      </c>
      <c r="C27" s="2"/>
    </row>
    <row r="28" spans="2:3" x14ac:dyDescent="0.3">
      <c r="C28" s="2"/>
    </row>
    <row r="29" spans="2:3" x14ac:dyDescent="0.3">
      <c r="C29" s="2"/>
    </row>
    <row r="30" spans="2:3" x14ac:dyDescent="0.3">
      <c r="C30" s="2"/>
    </row>
    <row r="31" spans="2:3" x14ac:dyDescent="0.3">
      <c r="C31" s="2"/>
    </row>
    <row r="32" spans="2:3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  <row r="47" spans="3:3" x14ac:dyDescent="0.3">
      <c r="C47" s="2"/>
    </row>
    <row r="48" spans="3:3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</sheetData>
  <autoFilter ref="B2:C59" xr:uid="{D00C4E0D-D193-41FA-BA39-C53ADA770F56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0BF4-DB17-46B3-BD3E-AEC302F30A12}">
  <dimension ref="B2:K674"/>
  <sheetViews>
    <sheetView showGridLines="0" topLeftCell="A7" workbookViewId="0">
      <selection activeCell="H31" sqref="H31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7" bestFit="1" customWidth="1"/>
    <col min="7" max="7" width="21.6640625" bestFit="1" customWidth="1"/>
    <col min="9" max="9" width="13.77734375" bestFit="1" customWidth="1"/>
  </cols>
  <sheetData>
    <row r="2" spans="2:11" x14ac:dyDescent="0.3">
      <c r="B2" s="3" t="s">
        <v>8</v>
      </c>
      <c r="C2" s="3" t="s">
        <v>9</v>
      </c>
      <c r="D2" s="4"/>
      <c r="E2" s="4"/>
      <c r="F2" s="3" t="s">
        <v>10</v>
      </c>
      <c r="G2" s="3" t="s">
        <v>11</v>
      </c>
    </row>
    <row r="3" spans="2:11" x14ac:dyDescent="0.3">
      <c r="B3" s="1">
        <v>25600</v>
      </c>
      <c r="C3" s="2">
        <v>7.2400000000000006E-2</v>
      </c>
      <c r="F3">
        <v>1970</v>
      </c>
      <c r="G3" s="2">
        <f>AVERAGEIFS($C$3:$C$672,$B$3:$B$672,"&gt;="&amp;DATE(F3,1,1),$B$3:$B$672,"&lt;="&amp;DATE(F3,12,31))</f>
        <v>7.3081818181818192E-2</v>
      </c>
    </row>
    <row r="4" spans="2:11" x14ac:dyDescent="0.3">
      <c r="B4" s="1">
        <v>25628</v>
      </c>
      <c r="C4" s="2">
        <v>7.0699999999999999E-2</v>
      </c>
      <c r="F4">
        <f>F3+1</f>
        <v>1971</v>
      </c>
      <c r="G4" s="2">
        <f t="shared" ref="G4:G58" si="0">AVERAGEIFS($C$3:$C$672,$B$3:$B$672,"&gt;="&amp;DATE(F4,1,1),$B$3:$B$672,"&lt;="&amp;DATE(F4,12,31))</f>
        <v>6.1591666666666663E-2</v>
      </c>
      <c r="I4" s="3" t="s">
        <v>12</v>
      </c>
      <c r="J4" s="3" t="s">
        <v>64</v>
      </c>
      <c r="K4" s="5">
        <f>AVERAGE(G9:G58)</f>
        <v>5.8135381818181793E-2</v>
      </c>
    </row>
    <row r="5" spans="2:11" x14ac:dyDescent="0.3">
      <c r="B5" s="1">
        <v>25659</v>
      </c>
      <c r="C5" s="2">
        <v>7.3899999999999993E-2</v>
      </c>
      <c r="F5">
        <f t="shared" ref="F5:F58" si="1">F4+1</f>
        <v>1972</v>
      </c>
      <c r="G5" s="2">
        <f t="shared" si="0"/>
        <v>6.2099999999999995E-2</v>
      </c>
    </row>
    <row r="6" spans="2:11" x14ac:dyDescent="0.3">
      <c r="B6" s="1">
        <v>25689</v>
      </c>
      <c r="C6" s="2">
        <v>7.9100000000000004E-2</v>
      </c>
      <c r="F6">
        <f t="shared" si="1"/>
        <v>1973</v>
      </c>
      <c r="G6" s="2">
        <f t="shared" si="0"/>
        <v>6.8425E-2</v>
      </c>
      <c r="I6" s="3" t="s">
        <v>12</v>
      </c>
      <c r="J6" s="3" t="s">
        <v>65</v>
      </c>
      <c r="K6" s="5">
        <f>AVERAGE(G29:G58)</f>
        <v>3.6414858585858585E-2</v>
      </c>
    </row>
    <row r="7" spans="2:11" x14ac:dyDescent="0.3">
      <c r="B7" s="1">
        <v>25720</v>
      </c>
      <c r="C7" s="2">
        <v>7.8399999999999997E-2</v>
      </c>
      <c r="F7">
        <f t="shared" si="1"/>
        <v>1974</v>
      </c>
      <c r="G7" s="2">
        <f t="shared" si="0"/>
        <v>7.5575000000000003E-2</v>
      </c>
    </row>
    <row r="8" spans="2:11" x14ac:dyDescent="0.3">
      <c r="B8" s="1">
        <v>25750</v>
      </c>
      <c r="C8" s="2">
        <v>7.46E-2</v>
      </c>
      <c r="F8">
        <f t="shared" si="1"/>
        <v>1975</v>
      </c>
      <c r="G8" s="2">
        <f t="shared" si="0"/>
        <v>7.9875000000000002E-2</v>
      </c>
      <c r="I8" s="3" t="s">
        <v>12</v>
      </c>
      <c r="J8" s="3" t="s">
        <v>50</v>
      </c>
      <c r="K8" s="5">
        <f>AVERAGE(G39:G58)</f>
        <v>2.8792287878787882E-2</v>
      </c>
    </row>
    <row r="9" spans="2:11" x14ac:dyDescent="0.3">
      <c r="B9" s="1">
        <v>25781</v>
      </c>
      <c r="C9" s="2">
        <v>7.5300000000000006E-2</v>
      </c>
      <c r="F9">
        <f t="shared" si="1"/>
        <v>1976</v>
      </c>
      <c r="G9" s="2">
        <f t="shared" si="0"/>
        <v>7.6116666666666666E-2</v>
      </c>
    </row>
    <row r="10" spans="2:11" x14ac:dyDescent="0.3">
      <c r="B10" s="1">
        <v>25812</v>
      </c>
      <c r="C10" s="2">
        <v>7.3899999999999993E-2</v>
      </c>
      <c r="F10">
        <f t="shared" si="1"/>
        <v>1977</v>
      </c>
      <c r="G10" s="2">
        <f t="shared" si="0"/>
        <v>7.419166666666667E-2</v>
      </c>
      <c r="I10" s="3" t="s">
        <v>12</v>
      </c>
      <c r="J10" s="3" t="s">
        <v>51</v>
      </c>
      <c r="K10" s="5">
        <f>AVERAGE(G44:G58)</f>
        <v>2.5496106060606063E-2</v>
      </c>
    </row>
    <row r="11" spans="2:11" x14ac:dyDescent="0.3">
      <c r="B11" s="1">
        <v>25842</v>
      </c>
      <c r="C11" s="2">
        <v>7.3300000000000004E-2</v>
      </c>
      <c r="F11">
        <f t="shared" si="1"/>
        <v>1978</v>
      </c>
      <c r="G11" s="2">
        <f t="shared" si="0"/>
        <v>8.4100000000000022E-2</v>
      </c>
    </row>
    <row r="12" spans="2:11" x14ac:dyDescent="0.3">
      <c r="B12" s="1">
        <v>25873</v>
      </c>
      <c r="C12" s="2">
        <v>6.8400000000000002E-2</v>
      </c>
      <c r="F12">
        <f t="shared" si="1"/>
        <v>1979</v>
      </c>
      <c r="G12" s="2">
        <f t="shared" si="0"/>
        <v>9.4424999999999995E-2</v>
      </c>
      <c r="I12" s="3" t="s">
        <v>12</v>
      </c>
      <c r="J12" s="3" t="s">
        <v>47</v>
      </c>
      <c r="K12" s="5">
        <f>AVERAGE(G52:G58)</f>
        <v>2.8277132034632033E-2</v>
      </c>
    </row>
    <row r="13" spans="2:11" x14ac:dyDescent="0.3">
      <c r="B13" s="1">
        <v>25903</v>
      </c>
      <c r="C13" s="2">
        <v>6.3899999999999998E-2</v>
      </c>
      <c r="F13">
        <f t="shared" si="1"/>
        <v>1980</v>
      </c>
      <c r="G13" s="2">
        <f t="shared" si="0"/>
        <v>0.11413583333333333</v>
      </c>
    </row>
    <row r="14" spans="2:11" x14ac:dyDescent="0.3">
      <c r="B14" s="1">
        <v>25934</v>
      </c>
      <c r="C14" s="2">
        <v>6.2400000000000004E-2</v>
      </c>
      <c r="F14">
        <f t="shared" si="1"/>
        <v>1981</v>
      </c>
      <c r="G14" s="2">
        <f t="shared" si="0"/>
        <v>0.14012916666666667</v>
      </c>
      <c r="I14" s="3" t="s">
        <v>12</v>
      </c>
      <c r="J14" s="3" t="s">
        <v>48</v>
      </c>
      <c r="K14" s="5">
        <f>AVERAGE(G54:G58)</f>
        <v>3.3786984848484844E-2</v>
      </c>
    </row>
    <row r="15" spans="2:11" x14ac:dyDescent="0.3">
      <c r="B15" s="1">
        <v>25965</v>
      </c>
      <c r="C15" s="2">
        <v>6.1100000000000002E-2</v>
      </c>
      <c r="F15">
        <f t="shared" si="1"/>
        <v>1982</v>
      </c>
      <c r="G15" s="2">
        <f t="shared" si="0"/>
        <v>0.12948250000000003</v>
      </c>
    </row>
    <row r="16" spans="2:11" x14ac:dyDescent="0.3">
      <c r="B16" s="1">
        <v>25993</v>
      </c>
      <c r="C16" s="2">
        <v>5.7000000000000002E-2</v>
      </c>
      <c r="F16">
        <f t="shared" si="1"/>
        <v>1983</v>
      </c>
      <c r="G16" s="2">
        <f t="shared" si="0"/>
        <v>0.11136916666666667</v>
      </c>
      <c r="I16" s="3" t="s">
        <v>12</v>
      </c>
      <c r="J16" s="3" t="s">
        <v>17</v>
      </c>
      <c r="K16" s="5">
        <f>G58</f>
        <v>4.2479090909090904E-2</v>
      </c>
    </row>
    <row r="17" spans="2:7" x14ac:dyDescent="0.3">
      <c r="B17" s="1">
        <v>26024</v>
      </c>
      <c r="C17" s="2">
        <v>5.8299999999999998E-2</v>
      </c>
      <c r="F17">
        <f t="shared" si="1"/>
        <v>1984</v>
      </c>
      <c r="G17" s="2">
        <f t="shared" si="0"/>
        <v>0.12481333333333335</v>
      </c>
    </row>
    <row r="18" spans="2:7" x14ac:dyDescent="0.3">
      <c r="B18" s="1">
        <v>26054</v>
      </c>
      <c r="C18" s="2">
        <v>6.3899999999999998E-2</v>
      </c>
      <c r="F18">
        <f t="shared" si="1"/>
        <v>1985</v>
      </c>
      <c r="G18" s="2">
        <f t="shared" si="0"/>
        <v>0.10533583333333334</v>
      </c>
    </row>
    <row r="19" spans="2:7" x14ac:dyDescent="0.3">
      <c r="B19" s="1">
        <v>26085</v>
      </c>
      <c r="C19" s="2">
        <v>6.5199999999999994E-2</v>
      </c>
      <c r="F19">
        <f t="shared" si="1"/>
        <v>1986</v>
      </c>
      <c r="G19" s="2">
        <f t="shared" si="0"/>
        <v>7.5632500000000005E-2</v>
      </c>
    </row>
    <row r="20" spans="2:7" x14ac:dyDescent="0.3">
      <c r="B20" s="1">
        <v>26115</v>
      </c>
      <c r="C20" s="2">
        <v>6.7299999999999999E-2</v>
      </c>
      <c r="F20">
        <f t="shared" si="1"/>
        <v>1987</v>
      </c>
      <c r="G20" s="2">
        <f t="shared" si="0"/>
        <v>8.3972500000000005E-2</v>
      </c>
    </row>
    <row r="21" spans="2:7" x14ac:dyDescent="0.3">
      <c r="B21" s="1">
        <v>26146</v>
      </c>
      <c r="C21" s="2">
        <v>6.5799999999999997E-2</v>
      </c>
      <c r="F21">
        <f t="shared" si="1"/>
        <v>1988</v>
      </c>
      <c r="G21" s="2">
        <f t="shared" si="0"/>
        <v>8.8300833333333328E-2</v>
      </c>
    </row>
    <row r="22" spans="2:7" x14ac:dyDescent="0.3">
      <c r="B22" s="1">
        <v>26177</v>
      </c>
      <c r="C22" s="2">
        <v>6.1399999999999996E-2</v>
      </c>
      <c r="F22">
        <f t="shared" si="1"/>
        <v>1989</v>
      </c>
      <c r="G22" s="2">
        <f t="shared" si="0"/>
        <v>8.4510833333333327E-2</v>
      </c>
    </row>
    <row r="23" spans="2:7" x14ac:dyDescent="0.3">
      <c r="B23" s="1">
        <v>26207</v>
      </c>
      <c r="C23" s="2">
        <v>5.9299999999999999E-2</v>
      </c>
      <c r="F23">
        <f t="shared" si="1"/>
        <v>1990</v>
      </c>
      <c r="G23" s="2">
        <f t="shared" si="0"/>
        <v>8.5555833333333331E-2</v>
      </c>
    </row>
    <row r="24" spans="2:7" x14ac:dyDescent="0.3">
      <c r="B24" s="1">
        <v>26238</v>
      </c>
      <c r="C24" s="2">
        <v>5.8099999999999999E-2</v>
      </c>
      <c r="F24">
        <f t="shared" si="1"/>
        <v>1991</v>
      </c>
      <c r="G24" s="2">
        <f t="shared" si="0"/>
        <v>7.7799166666666669E-2</v>
      </c>
    </row>
    <row r="25" spans="2:7" x14ac:dyDescent="0.3">
      <c r="B25" s="1">
        <v>26268</v>
      </c>
      <c r="C25" s="2">
        <v>5.9299999999999999E-2</v>
      </c>
      <c r="F25">
        <f t="shared" si="1"/>
        <v>1992</v>
      </c>
      <c r="G25" s="2">
        <f t="shared" si="0"/>
        <v>7.0122500000000004E-2</v>
      </c>
    </row>
    <row r="26" spans="2:7" x14ac:dyDescent="0.3">
      <c r="B26" s="1">
        <v>26299</v>
      </c>
      <c r="C26" s="2">
        <v>5.9500000000000004E-2</v>
      </c>
      <c r="F26">
        <f t="shared" si="1"/>
        <v>1993</v>
      </c>
      <c r="G26" s="2">
        <f t="shared" si="0"/>
        <v>5.8290000000000002E-2</v>
      </c>
    </row>
    <row r="27" spans="2:7" x14ac:dyDescent="0.3">
      <c r="B27" s="1">
        <v>26330</v>
      </c>
      <c r="C27" s="2">
        <v>6.08E-2</v>
      </c>
      <c r="F27">
        <f t="shared" si="1"/>
        <v>1994</v>
      </c>
      <c r="G27" s="2">
        <f t="shared" si="0"/>
        <v>7.1234999999999993E-2</v>
      </c>
    </row>
    <row r="28" spans="2:7" x14ac:dyDescent="0.3">
      <c r="B28" s="1">
        <v>26359</v>
      </c>
      <c r="C28" s="2">
        <v>6.0700000000000004E-2</v>
      </c>
      <c r="F28">
        <f t="shared" si="1"/>
        <v>1995</v>
      </c>
      <c r="G28" s="2">
        <f t="shared" si="0"/>
        <v>6.4805000000000001E-2</v>
      </c>
    </row>
    <row r="29" spans="2:7" x14ac:dyDescent="0.3">
      <c r="B29" s="1">
        <v>26390</v>
      </c>
      <c r="C29" s="2">
        <v>6.1900000000000004E-2</v>
      </c>
      <c r="F29">
        <f t="shared" si="1"/>
        <v>1996</v>
      </c>
      <c r="G29" s="2">
        <f t="shared" si="0"/>
        <v>6.4599999999999991E-2</v>
      </c>
    </row>
    <row r="30" spans="2:7" x14ac:dyDescent="0.3">
      <c r="B30" s="1">
        <v>26420</v>
      </c>
      <c r="C30" s="2">
        <v>6.13E-2</v>
      </c>
      <c r="F30">
        <f t="shared" si="1"/>
        <v>1997</v>
      </c>
      <c r="G30" s="2">
        <f t="shared" si="0"/>
        <v>6.3130000000000006E-2</v>
      </c>
    </row>
    <row r="31" spans="2:7" x14ac:dyDescent="0.3">
      <c r="B31" s="1">
        <v>26451</v>
      </c>
      <c r="C31" s="2">
        <v>6.1100000000000002E-2</v>
      </c>
      <c r="F31">
        <f t="shared" si="1"/>
        <v>1998</v>
      </c>
      <c r="G31" s="2">
        <f t="shared" si="0"/>
        <v>5.2140833333333331E-2</v>
      </c>
    </row>
    <row r="32" spans="2:7" x14ac:dyDescent="0.3">
      <c r="B32" s="1">
        <v>26481</v>
      </c>
      <c r="C32" s="2">
        <v>6.1100000000000002E-2</v>
      </c>
      <c r="F32">
        <f t="shared" si="1"/>
        <v>1999</v>
      </c>
      <c r="G32" s="2">
        <f t="shared" si="0"/>
        <v>5.6967500000000004E-2</v>
      </c>
    </row>
    <row r="33" spans="2:7" x14ac:dyDescent="0.3">
      <c r="B33" s="1">
        <v>26512</v>
      </c>
      <c r="C33" s="2">
        <v>6.2100000000000002E-2</v>
      </c>
      <c r="F33">
        <f t="shared" si="1"/>
        <v>2000</v>
      </c>
      <c r="G33" s="2">
        <f t="shared" si="0"/>
        <v>5.9609166666666678E-2</v>
      </c>
    </row>
    <row r="34" spans="2:7" x14ac:dyDescent="0.3">
      <c r="B34" s="1">
        <v>26543</v>
      </c>
      <c r="C34" s="2">
        <v>6.5500000000000003E-2</v>
      </c>
      <c r="F34">
        <f t="shared" si="1"/>
        <v>2001</v>
      </c>
      <c r="G34" s="2">
        <f t="shared" si="0"/>
        <v>4.9639999999999997E-2</v>
      </c>
    </row>
    <row r="35" spans="2:7" x14ac:dyDescent="0.3">
      <c r="B35" s="1">
        <v>26573</v>
      </c>
      <c r="C35" s="2">
        <v>6.480000000000001E-2</v>
      </c>
      <c r="F35">
        <f t="shared" si="1"/>
        <v>2002</v>
      </c>
      <c r="G35" s="2">
        <f t="shared" si="0"/>
        <v>4.5318333333333342E-2</v>
      </c>
    </row>
    <row r="36" spans="2:7" x14ac:dyDescent="0.3">
      <c r="B36" s="1">
        <v>26604</v>
      </c>
      <c r="C36" s="2">
        <v>6.2800000000000009E-2</v>
      </c>
      <c r="F36">
        <f t="shared" si="1"/>
        <v>2003</v>
      </c>
      <c r="G36" s="2">
        <f t="shared" si="0"/>
        <v>3.9910833333333333E-2</v>
      </c>
    </row>
    <row r="37" spans="2:7" x14ac:dyDescent="0.3">
      <c r="B37" s="1">
        <v>26634</v>
      </c>
      <c r="C37" s="2">
        <v>6.3600000000000004E-2</v>
      </c>
      <c r="F37">
        <f t="shared" si="1"/>
        <v>2004</v>
      </c>
      <c r="G37" s="2">
        <f t="shared" si="0"/>
        <v>4.2634166666666667E-2</v>
      </c>
    </row>
    <row r="38" spans="2:7" x14ac:dyDescent="0.3">
      <c r="B38" s="1">
        <v>26665</v>
      </c>
      <c r="C38" s="2">
        <v>6.4600000000000005E-2</v>
      </c>
      <c r="F38">
        <f t="shared" si="1"/>
        <v>2005</v>
      </c>
      <c r="G38" s="2">
        <f t="shared" si="0"/>
        <v>4.2649166666666662E-2</v>
      </c>
    </row>
    <row r="39" spans="2:7" x14ac:dyDescent="0.3">
      <c r="B39" s="1">
        <v>26696</v>
      </c>
      <c r="C39" s="2">
        <v>6.6400000000000001E-2</v>
      </c>
      <c r="F39">
        <f t="shared" si="1"/>
        <v>2006</v>
      </c>
      <c r="G39" s="2">
        <f t="shared" si="0"/>
        <v>4.7810833333333337E-2</v>
      </c>
    </row>
    <row r="40" spans="2:7" x14ac:dyDescent="0.3">
      <c r="B40" s="1">
        <v>26724</v>
      </c>
      <c r="C40" s="2">
        <v>6.7099999999999993E-2</v>
      </c>
      <c r="F40">
        <f t="shared" si="1"/>
        <v>2007</v>
      </c>
      <c r="G40" s="2">
        <f t="shared" si="0"/>
        <v>4.5747499999999997E-2</v>
      </c>
    </row>
    <row r="41" spans="2:7" x14ac:dyDescent="0.3">
      <c r="B41" s="1">
        <v>26755</v>
      </c>
      <c r="C41" s="2">
        <v>6.6699999999999995E-2</v>
      </c>
      <c r="F41">
        <f t="shared" si="1"/>
        <v>2008</v>
      </c>
      <c r="G41" s="2">
        <f t="shared" si="0"/>
        <v>3.5862499999999999E-2</v>
      </c>
    </row>
    <row r="42" spans="2:7" x14ac:dyDescent="0.3">
      <c r="B42" s="1">
        <v>26785</v>
      </c>
      <c r="C42" s="2">
        <v>6.8499999999999991E-2</v>
      </c>
      <c r="F42">
        <f t="shared" si="1"/>
        <v>2009</v>
      </c>
      <c r="G42" s="2">
        <f t="shared" si="0"/>
        <v>3.272333333333334E-2</v>
      </c>
    </row>
    <row r="43" spans="2:7" x14ac:dyDescent="0.3">
      <c r="B43" s="1">
        <v>26816</v>
      </c>
      <c r="C43" s="2">
        <v>6.9000000000000006E-2</v>
      </c>
      <c r="F43">
        <f t="shared" si="1"/>
        <v>2010</v>
      </c>
      <c r="G43" s="2">
        <f t="shared" si="0"/>
        <v>3.1260000000000003E-2</v>
      </c>
    </row>
    <row r="44" spans="2:7" x14ac:dyDescent="0.3">
      <c r="B44" s="1">
        <v>26846</v>
      </c>
      <c r="C44" s="2">
        <v>7.1300000000000002E-2</v>
      </c>
      <c r="F44">
        <f t="shared" si="1"/>
        <v>2011</v>
      </c>
      <c r="G44" s="2">
        <f t="shared" si="0"/>
        <v>2.7319166666666672E-2</v>
      </c>
    </row>
    <row r="45" spans="2:7" x14ac:dyDescent="0.3">
      <c r="B45" s="1">
        <v>26877</v>
      </c>
      <c r="C45" s="2">
        <v>7.400000000000001E-2</v>
      </c>
      <c r="F45">
        <f t="shared" si="1"/>
        <v>2012</v>
      </c>
      <c r="G45" s="2">
        <f t="shared" si="0"/>
        <v>1.7355000000000002E-2</v>
      </c>
    </row>
    <row r="46" spans="2:7" x14ac:dyDescent="0.3">
      <c r="B46" s="1">
        <v>26908</v>
      </c>
      <c r="C46" s="2">
        <v>7.0900000000000005E-2</v>
      </c>
      <c r="F46">
        <f t="shared" si="1"/>
        <v>2013</v>
      </c>
      <c r="G46" s="2">
        <f t="shared" si="0"/>
        <v>2.3605000000000001E-2</v>
      </c>
    </row>
    <row r="47" spans="2:7" x14ac:dyDescent="0.3">
      <c r="B47" s="1">
        <v>26938</v>
      </c>
      <c r="C47" s="2">
        <v>6.7900000000000002E-2</v>
      </c>
      <c r="F47">
        <f t="shared" si="1"/>
        <v>2014</v>
      </c>
      <c r="G47" s="2">
        <f t="shared" si="0"/>
        <v>2.4787500000000004E-2</v>
      </c>
    </row>
    <row r="48" spans="2:7" x14ac:dyDescent="0.3">
      <c r="B48" s="1">
        <v>26969</v>
      </c>
      <c r="C48" s="2">
        <v>6.7299999999999999E-2</v>
      </c>
      <c r="F48">
        <f t="shared" si="1"/>
        <v>2015</v>
      </c>
      <c r="G48" s="2">
        <f t="shared" si="0"/>
        <v>2.0940833333333329E-2</v>
      </c>
    </row>
    <row r="49" spans="2:7" x14ac:dyDescent="0.3">
      <c r="B49" s="1">
        <v>26999</v>
      </c>
      <c r="C49" s="2">
        <v>6.7400000000000002E-2</v>
      </c>
      <c r="F49">
        <f t="shared" si="1"/>
        <v>2016</v>
      </c>
      <c r="G49" s="2">
        <f t="shared" si="0"/>
        <v>1.8233333333333334E-2</v>
      </c>
    </row>
    <row r="50" spans="2:7" x14ac:dyDescent="0.3">
      <c r="B50" s="1">
        <v>27030</v>
      </c>
      <c r="C50" s="2">
        <v>6.9900000000000004E-2</v>
      </c>
      <c r="F50">
        <f t="shared" si="1"/>
        <v>2017</v>
      </c>
      <c r="G50" s="2">
        <f t="shared" si="0"/>
        <v>2.3337500000000001E-2</v>
      </c>
    </row>
    <row r="51" spans="2:7" x14ac:dyDescent="0.3">
      <c r="B51" s="1">
        <v>27061</v>
      </c>
      <c r="C51" s="2">
        <v>6.9599999999999995E-2</v>
      </c>
      <c r="F51">
        <f t="shared" si="1"/>
        <v>2018</v>
      </c>
      <c r="G51" s="2">
        <f t="shared" si="0"/>
        <v>2.8923333333333339E-2</v>
      </c>
    </row>
    <row r="52" spans="2:7" x14ac:dyDescent="0.3">
      <c r="B52" s="1">
        <v>27089</v>
      </c>
      <c r="C52" s="2">
        <v>7.2099999999999997E-2</v>
      </c>
      <c r="F52">
        <f t="shared" si="1"/>
        <v>2019</v>
      </c>
      <c r="G52" s="2">
        <f t="shared" si="0"/>
        <v>2.0796666666666668E-2</v>
      </c>
    </row>
    <row r="53" spans="2:7" x14ac:dyDescent="0.3">
      <c r="B53" s="1">
        <v>27120</v>
      </c>
      <c r="C53" s="2">
        <v>7.51E-2</v>
      </c>
      <c r="F53">
        <f t="shared" si="1"/>
        <v>2020</v>
      </c>
      <c r="G53" s="2">
        <f t="shared" si="0"/>
        <v>8.2083333333333331E-3</v>
      </c>
    </row>
    <row r="54" spans="2:7" x14ac:dyDescent="0.3">
      <c r="B54" s="1">
        <v>27150</v>
      </c>
      <c r="C54" s="2">
        <v>7.5800000000000006E-2</v>
      </c>
      <c r="F54">
        <f t="shared" si="1"/>
        <v>2021</v>
      </c>
      <c r="G54" s="2">
        <f t="shared" si="0"/>
        <v>1.45425E-2</v>
      </c>
    </row>
    <row r="55" spans="2:7" x14ac:dyDescent="0.3">
      <c r="B55" s="1">
        <v>27181</v>
      </c>
      <c r="C55" s="2">
        <v>7.5399999999999995E-2</v>
      </c>
      <c r="F55">
        <f t="shared" si="1"/>
        <v>2022</v>
      </c>
      <c r="G55" s="2">
        <f t="shared" si="0"/>
        <v>2.9981666666666667E-2</v>
      </c>
    </row>
    <row r="56" spans="2:7" x14ac:dyDescent="0.3">
      <c r="B56" s="1">
        <v>27211</v>
      </c>
      <c r="C56" s="2">
        <v>7.8100000000000003E-2</v>
      </c>
      <c r="F56">
        <f t="shared" si="1"/>
        <v>2023</v>
      </c>
      <c r="G56" s="2">
        <f t="shared" si="0"/>
        <v>3.9670833333333329E-2</v>
      </c>
    </row>
    <row r="57" spans="2:7" x14ac:dyDescent="0.3">
      <c r="B57" s="1">
        <v>27242</v>
      </c>
      <c r="C57" s="2">
        <v>8.0399999999999985E-2</v>
      </c>
      <c r="F57">
        <f>F56+1</f>
        <v>2024</v>
      </c>
      <c r="G57" s="2">
        <f t="shared" si="0"/>
        <v>4.2260833333333338E-2</v>
      </c>
    </row>
    <row r="58" spans="2:7" x14ac:dyDescent="0.3">
      <c r="B58" s="1">
        <v>27273</v>
      </c>
      <c r="C58" s="2">
        <v>8.0399999999999985E-2</v>
      </c>
      <c r="F58">
        <f t="shared" si="1"/>
        <v>2025</v>
      </c>
      <c r="G58" s="2">
        <f t="shared" si="0"/>
        <v>4.2479090909090904E-2</v>
      </c>
    </row>
    <row r="59" spans="2:7" x14ac:dyDescent="0.3">
      <c r="B59" s="1">
        <v>27303</v>
      </c>
      <c r="C59" s="2">
        <v>7.9000000000000001E-2</v>
      </c>
    </row>
    <row r="60" spans="2:7" x14ac:dyDescent="0.3">
      <c r="B60" s="1">
        <v>27334</v>
      </c>
      <c r="C60" s="2">
        <v>7.6799999999999993E-2</v>
      </c>
    </row>
    <row r="61" spans="2:7" x14ac:dyDescent="0.3">
      <c r="B61" s="1">
        <v>27364</v>
      </c>
      <c r="C61" s="2">
        <v>7.4299999999999991E-2</v>
      </c>
    </row>
    <row r="62" spans="2:7" x14ac:dyDescent="0.3">
      <c r="B62" s="1">
        <v>27395</v>
      </c>
      <c r="C62" s="2">
        <v>7.4999999999999997E-2</v>
      </c>
    </row>
    <row r="63" spans="2:7" x14ac:dyDescent="0.3">
      <c r="B63" s="1">
        <v>27426</v>
      </c>
      <c r="C63" s="2">
        <v>7.3899999999999993E-2</v>
      </c>
    </row>
    <row r="64" spans="2:7" x14ac:dyDescent="0.3">
      <c r="B64" s="1">
        <v>27454</v>
      </c>
      <c r="C64" s="2">
        <v>7.7300000000000008E-2</v>
      </c>
    </row>
    <row r="65" spans="2:3" x14ac:dyDescent="0.3">
      <c r="B65" s="1">
        <v>27485</v>
      </c>
      <c r="C65" s="2">
        <v>8.2299999999999998E-2</v>
      </c>
    </row>
    <row r="66" spans="2:3" x14ac:dyDescent="0.3">
      <c r="B66" s="1">
        <v>27515</v>
      </c>
      <c r="C66" s="2">
        <v>8.0600000000000005E-2</v>
      </c>
    </row>
    <row r="67" spans="2:3" x14ac:dyDescent="0.3">
      <c r="B67" s="1">
        <v>27546</v>
      </c>
      <c r="C67" s="2">
        <v>7.8600000000000003E-2</v>
      </c>
    </row>
    <row r="68" spans="2:3" x14ac:dyDescent="0.3">
      <c r="B68" s="1">
        <v>27576</v>
      </c>
      <c r="C68" s="2">
        <v>8.0600000000000005E-2</v>
      </c>
    </row>
    <row r="69" spans="2:3" x14ac:dyDescent="0.3">
      <c r="B69" s="1">
        <v>27607</v>
      </c>
      <c r="C69" s="2">
        <v>8.4000000000000005E-2</v>
      </c>
    </row>
    <row r="70" spans="2:3" x14ac:dyDescent="0.3">
      <c r="B70" s="1">
        <v>27638</v>
      </c>
      <c r="C70" s="2">
        <v>8.43E-2</v>
      </c>
    </row>
    <row r="71" spans="2:3" x14ac:dyDescent="0.3">
      <c r="B71" s="1">
        <v>27668</v>
      </c>
      <c r="C71" s="2">
        <v>8.14E-2</v>
      </c>
    </row>
    <row r="72" spans="2:3" x14ac:dyDescent="0.3">
      <c r="B72" s="1">
        <v>27699</v>
      </c>
      <c r="C72" s="2">
        <v>8.0500000000000002E-2</v>
      </c>
    </row>
    <row r="73" spans="2:3" x14ac:dyDescent="0.3">
      <c r="B73" s="1">
        <v>27729</v>
      </c>
      <c r="C73" s="2">
        <v>0.08</v>
      </c>
    </row>
    <row r="74" spans="2:3" x14ac:dyDescent="0.3">
      <c r="B74" s="1">
        <v>27760</v>
      </c>
      <c r="C74" s="2">
        <v>7.7399999999999997E-2</v>
      </c>
    </row>
    <row r="75" spans="2:3" x14ac:dyDescent="0.3">
      <c r="B75" s="1">
        <v>27791</v>
      </c>
      <c r="C75" s="2">
        <v>7.7899999999999997E-2</v>
      </c>
    </row>
    <row r="76" spans="2:3" x14ac:dyDescent="0.3">
      <c r="B76" s="1">
        <v>27820</v>
      </c>
      <c r="C76" s="2">
        <v>7.7300000000000008E-2</v>
      </c>
    </row>
    <row r="77" spans="2:3" x14ac:dyDescent="0.3">
      <c r="B77" s="1">
        <v>27851</v>
      </c>
      <c r="C77" s="2">
        <v>7.5600000000000001E-2</v>
      </c>
    </row>
    <row r="78" spans="2:3" x14ac:dyDescent="0.3">
      <c r="B78" s="1">
        <v>27881</v>
      </c>
      <c r="C78" s="2">
        <v>7.9000000000000001E-2</v>
      </c>
    </row>
    <row r="79" spans="2:3" x14ac:dyDescent="0.3">
      <c r="B79" s="1">
        <v>27912</v>
      </c>
      <c r="C79" s="2">
        <v>7.8600000000000003E-2</v>
      </c>
    </row>
    <row r="80" spans="2:3" x14ac:dyDescent="0.3">
      <c r="B80" s="1">
        <v>27942</v>
      </c>
      <c r="C80" s="2">
        <v>7.8299999999999995E-2</v>
      </c>
    </row>
    <row r="81" spans="2:3" x14ac:dyDescent="0.3">
      <c r="B81" s="1">
        <v>27973</v>
      </c>
      <c r="C81" s="2">
        <v>7.7699999999999991E-2</v>
      </c>
    </row>
    <row r="82" spans="2:3" x14ac:dyDescent="0.3">
      <c r="B82" s="1">
        <v>28004</v>
      </c>
      <c r="C82" s="2">
        <v>7.5899999999999995E-2</v>
      </c>
    </row>
    <row r="83" spans="2:3" x14ac:dyDescent="0.3">
      <c r="B83" s="1">
        <v>28034</v>
      </c>
      <c r="C83" s="2">
        <v>7.4099999999999999E-2</v>
      </c>
    </row>
    <row r="84" spans="2:3" x14ac:dyDescent="0.3">
      <c r="B84" s="1">
        <v>28065</v>
      </c>
      <c r="C84" s="2">
        <v>7.2900000000000006E-2</v>
      </c>
    </row>
    <row r="85" spans="2:3" x14ac:dyDescent="0.3">
      <c r="B85" s="1">
        <v>28095</v>
      </c>
      <c r="C85" s="2">
        <v>6.8699999999999997E-2</v>
      </c>
    </row>
    <row r="86" spans="2:3" x14ac:dyDescent="0.3">
      <c r="B86" s="1">
        <v>28126</v>
      </c>
      <c r="C86" s="2">
        <v>7.2099999999999997E-2</v>
      </c>
    </row>
    <row r="87" spans="2:3" x14ac:dyDescent="0.3">
      <c r="B87" s="1">
        <v>28157</v>
      </c>
      <c r="C87" s="2">
        <v>7.3899999999999993E-2</v>
      </c>
    </row>
    <row r="88" spans="2:3" x14ac:dyDescent="0.3">
      <c r="B88" s="1">
        <v>28185</v>
      </c>
      <c r="C88" s="2">
        <v>7.46E-2</v>
      </c>
    </row>
    <row r="89" spans="2:3" x14ac:dyDescent="0.3">
      <c r="B89" s="1">
        <v>28216</v>
      </c>
      <c r="C89" s="2">
        <v>7.3700000000000002E-2</v>
      </c>
    </row>
    <row r="90" spans="2:3" x14ac:dyDescent="0.3">
      <c r="B90" s="1">
        <v>28246</v>
      </c>
      <c r="C90" s="2">
        <v>7.46E-2</v>
      </c>
    </row>
    <row r="91" spans="2:3" x14ac:dyDescent="0.3">
      <c r="B91" s="1">
        <v>28277</v>
      </c>
      <c r="C91" s="2">
        <v>7.2800000000000004E-2</v>
      </c>
    </row>
    <row r="92" spans="2:3" x14ac:dyDescent="0.3">
      <c r="B92" s="1">
        <v>28307</v>
      </c>
      <c r="C92" s="2">
        <v>7.3300000000000004E-2</v>
      </c>
    </row>
    <row r="93" spans="2:3" x14ac:dyDescent="0.3">
      <c r="B93" s="1">
        <v>28338</v>
      </c>
      <c r="C93" s="2">
        <v>7.400000000000001E-2</v>
      </c>
    </row>
    <row r="94" spans="2:3" x14ac:dyDescent="0.3">
      <c r="B94" s="1">
        <v>28369</v>
      </c>
      <c r="C94" s="2">
        <v>7.3399999999999993E-2</v>
      </c>
    </row>
    <row r="95" spans="2:3" x14ac:dyDescent="0.3">
      <c r="B95" s="1">
        <v>28399</v>
      </c>
      <c r="C95" s="2">
        <v>7.5199999999999989E-2</v>
      </c>
    </row>
    <row r="96" spans="2:3" x14ac:dyDescent="0.3">
      <c r="B96" s="1">
        <v>28430</v>
      </c>
      <c r="C96" s="2">
        <v>7.5800000000000006E-2</v>
      </c>
    </row>
    <row r="97" spans="2:3" x14ac:dyDescent="0.3">
      <c r="B97" s="1">
        <v>28460</v>
      </c>
      <c r="C97" s="2">
        <v>7.690000000000001E-2</v>
      </c>
    </row>
    <row r="98" spans="2:3" x14ac:dyDescent="0.3">
      <c r="B98" s="1">
        <v>28491</v>
      </c>
      <c r="C98" s="2">
        <v>7.9600000000000004E-2</v>
      </c>
    </row>
    <row r="99" spans="2:3" x14ac:dyDescent="0.3">
      <c r="B99" s="1">
        <v>28522</v>
      </c>
      <c r="C99" s="2">
        <v>8.0299999999999996E-2</v>
      </c>
    </row>
    <row r="100" spans="2:3" x14ac:dyDescent="0.3">
      <c r="B100" s="1">
        <v>28550</v>
      </c>
      <c r="C100" s="2">
        <v>8.0399999999999985E-2</v>
      </c>
    </row>
    <row r="101" spans="2:3" x14ac:dyDescent="0.3">
      <c r="B101" s="1">
        <v>28581</v>
      </c>
      <c r="C101" s="2">
        <v>8.1500000000000003E-2</v>
      </c>
    </row>
    <row r="102" spans="2:3" x14ac:dyDescent="0.3">
      <c r="B102" s="1">
        <v>28611</v>
      </c>
      <c r="C102" s="2">
        <v>8.3499999999999991E-2</v>
      </c>
    </row>
    <row r="103" spans="2:3" x14ac:dyDescent="0.3">
      <c r="B103" s="1">
        <v>28642</v>
      </c>
      <c r="C103" s="2">
        <v>8.4600000000000009E-2</v>
      </c>
    </row>
    <row r="104" spans="2:3" x14ac:dyDescent="0.3">
      <c r="B104" s="1">
        <v>28672</v>
      </c>
      <c r="C104" s="2">
        <v>8.6400000000000005E-2</v>
      </c>
    </row>
    <row r="105" spans="2:3" x14ac:dyDescent="0.3">
      <c r="B105" s="1">
        <v>28703</v>
      </c>
      <c r="C105" s="2">
        <v>8.4100000000000008E-2</v>
      </c>
    </row>
    <row r="106" spans="2:3" x14ac:dyDescent="0.3">
      <c r="B106" s="1">
        <v>28734</v>
      </c>
      <c r="C106" s="2">
        <v>8.4199999999999997E-2</v>
      </c>
    </row>
    <row r="107" spans="2:3" x14ac:dyDescent="0.3">
      <c r="B107" s="1">
        <v>28764</v>
      </c>
      <c r="C107" s="2">
        <v>8.6400000000000005E-2</v>
      </c>
    </row>
    <row r="108" spans="2:3" x14ac:dyDescent="0.3">
      <c r="B108" s="1">
        <v>28795</v>
      </c>
      <c r="C108" s="2">
        <v>8.8100000000000012E-2</v>
      </c>
    </row>
    <row r="109" spans="2:3" x14ac:dyDescent="0.3">
      <c r="B109" s="1">
        <v>28825</v>
      </c>
      <c r="C109" s="2">
        <v>9.01E-2</v>
      </c>
    </row>
    <row r="110" spans="2:3" x14ac:dyDescent="0.3">
      <c r="B110" s="1">
        <v>28856</v>
      </c>
      <c r="C110" s="2">
        <v>9.0999999999999998E-2</v>
      </c>
    </row>
    <row r="111" spans="2:3" x14ac:dyDescent="0.3">
      <c r="B111" s="1">
        <v>28887</v>
      </c>
      <c r="C111" s="2">
        <v>9.0999999999999998E-2</v>
      </c>
    </row>
    <row r="112" spans="2:3" x14ac:dyDescent="0.3">
      <c r="B112" s="1">
        <v>28915</v>
      </c>
      <c r="C112" s="2">
        <v>9.1199999999999989E-2</v>
      </c>
    </row>
    <row r="113" spans="2:3" x14ac:dyDescent="0.3">
      <c r="B113" s="1">
        <v>28946</v>
      </c>
      <c r="C113" s="2">
        <v>9.1799999999999993E-2</v>
      </c>
    </row>
    <row r="114" spans="2:3" x14ac:dyDescent="0.3">
      <c r="B114" s="1">
        <v>28976</v>
      </c>
      <c r="C114" s="2">
        <v>9.2499999999999999E-2</v>
      </c>
    </row>
    <row r="115" spans="2:3" x14ac:dyDescent="0.3">
      <c r="B115" s="1">
        <v>29007</v>
      </c>
      <c r="C115" s="2">
        <v>8.9099999999999999E-2</v>
      </c>
    </row>
    <row r="116" spans="2:3" x14ac:dyDescent="0.3">
      <c r="B116" s="1">
        <v>29037</v>
      </c>
      <c r="C116" s="2">
        <v>8.9499999999999996E-2</v>
      </c>
    </row>
    <row r="117" spans="2:3" x14ac:dyDescent="0.3">
      <c r="B117" s="1">
        <v>29068</v>
      </c>
      <c r="C117" s="2">
        <v>9.0299999999999991E-2</v>
      </c>
    </row>
    <row r="118" spans="2:3" x14ac:dyDescent="0.3">
      <c r="B118" s="1">
        <v>29099</v>
      </c>
      <c r="C118" s="2">
        <v>9.3299999999999994E-2</v>
      </c>
    </row>
    <row r="119" spans="2:3" x14ac:dyDescent="0.3">
      <c r="B119" s="1">
        <v>29129</v>
      </c>
      <c r="C119" s="2">
        <v>0.10300000000000001</v>
      </c>
    </row>
    <row r="120" spans="2:3" x14ac:dyDescent="0.3">
      <c r="B120" s="1">
        <v>29160</v>
      </c>
      <c r="C120" s="2">
        <v>0.1065</v>
      </c>
    </row>
    <row r="121" spans="2:3" x14ac:dyDescent="0.3">
      <c r="B121" s="1">
        <v>29190</v>
      </c>
      <c r="C121" s="2">
        <v>0.10390000000000001</v>
      </c>
    </row>
    <row r="122" spans="2:3" x14ac:dyDescent="0.3">
      <c r="B122" s="1">
        <v>29221</v>
      </c>
      <c r="C122" s="2">
        <v>0.11109999999999999</v>
      </c>
    </row>
    <row r="123" spans="2:3" x14ac:dyDescent="0.3">
      <c r="B123" s="1">
        <v>29252</v>
      </c>
      <c r="C123" s="2">
        <v>0.12698999999999999</v>
      </c>
    </row>
    <row r="124" spans="2:3" x14ac:dyDescent="0.3">
      <c r="B124" s="1">
        <v>29281</v>
      </c>
      <c r="C124" s="2">
        <v>0.12603999999999999</v>
      </c>
    </row>
    <row r="125" spans="2:3" x14ac:dyDescent="0.3">
      <c r="B125" s="1">
        <v>29312</v>
      </c>
      <c r="C125" s="2">
        <v>0.10718999999999999</v>
      </c>
    </row>
    <row r="126" spans="2:3" x14ac:dyDescent="0.3">
      <c r="B126" s="1">
        <v>29342</v>
      </c>
      <c r="C126" s="2">
        <v>0.10208</v>
      </c>
    </row>
    <row r="127" spans="2:3" x14ac:dyDescent="0.3">
      <c r="B127" s="1">
        <v>29373</v>
      </c>
      <c r="C127" s="2">
        <v>9.4329999999999997E-2</v>
      </c>
    </row>
    <row r="128" spans="2:3" x14ac:dyDescent="0.3">
      <c r="B128" s="1">
        <v>29403</v>
      </c>
      <c r="C128" s="2">
        <v>0.10249999999999999</v>
      </c>
    </row>
    <row r="129" spans="2:3" x14ac:dyDescent="0.3">
      <c r="B129" s="1">
        <v>29434</v>
      </c>
      <c r="C129" s="2">
        <v>0.10837999999999999</v>
      </c>
    </row>
    <row r="130" spans="2:3" x14ac:dyDescent="0.3">
      <c r="B130" s="1">
        <v>29465</v>
      </c>
      <c r="C130" s="2">
        <v>0.11836000000000001</v>
      </c>
    </row>
    <row r="131" spans="2:3" x14ac:dyDescent="0.3">
      <c r="B131" s="1">
        <v>29495</v>
      </c>
      <c r="C131" s="2">
        <v>0.12429</v>
      </c>
    </row>
    <row r="132" spans="2:3" x14ac:dyDescent="0.3">
      <c r="B132" s="1">
        <v>29526</v>
      </c>
      <c r="C132" s="2">
        <v>0.12426</v>
      </c>
    </row>
    <row r="133" spans="2:3" x14ac:dyDescent="0.3">
      <c r="B133" s="1">
        <v>29556</v>
      </c>
      <c r="C133" s="2">
        <v>0.12411</v>
      </c>
    </row>
    <row r="134" spans="2:3" x14ac:dyDescent="0.3">
      <c r="B134" s="1">
        <v>29587</v>
      </c>
      <c r="C134" s="2">
        <v>0.12670000000000001</v>
      </c>
    </row>
    <row r="135" spans="2:3" x14ac:dyDescent="0.3">
      <c r="B135" s="1">
        <v>29618</v>
      </c>
      <c r="C135" s="2">
        <v>0.13411000000000001</v>
      </c>
    </row>
    <row r="136" spans="2:3" x14ac:dyDescent="0.3">
      <c r="B136" s="1">
        <v>29646</v>
      </c>
      <c r="C136" s="2">
        <v>0.13101000000000002</v>
      </c>
    </row>
    <row r="137" spans="2:3" x14ac:dyDescent="0.3">
      <c r="B137" s="1">
        <v>29677</v>
      </c>
      <c r="C137" s="2">
        <v>0.14088000000000001</v>
      </c>
    </row>
    <row r="138" spans="2:3" x14ac:dyDescent="0.3">
      <c r="B138" s="1">
        <v>29707</v>
      </c>
      <c r="C138" s="2">
        <v>0.13402</v>
      </c>
    </row>
    <row r="139" spans="2:3" x14ac:dyDescent="0.3">
      <c r="B139" s="1">
        <v>29738</v>
      </c>
      <c r="C139" s="2">
        <v>0.13849999999999998</v>
      </c>
    </row>
    <row r="140" spans="2:3" x14ac:dyDescent="0.3">
      <c r="B140" s="1">
        <v>29768</v>
      </c>
      <c r="C140" s="2">
        <v>0.14651</v>
      </c>
    </row>
    <row r="141" spans="2:3" x14ac:dyDescent="0.3">
      <c r="B141" s="1">
        <v>29799</v>
      </c>
      <c r="C141" s="2">
        <v>0.1537</v>
      </c>
    </row>
    <row r="142" spans="2:3" x14ac:dyDescent="0.3">
      <c r="B142" s="1">
        <v>29830</v>
      </c>
      <c r="C142" s="2">
        <v>0.15820000000000001</v>
      </c>
    </row>
    <row r="143" spans="2:3" x14ac:dyDescent="0.3">
      <c r="B143" s="1">
        <v>29860</v>
      </c>
      <c r="C143" s="2">
        <v>0.14611000000000002</v>
      </c>
    </row>
    <row r="144" spans="2:3" x14ac:dyDescent="0.3">
      <c r="B144" s="1">
        <v>29891</v>
      </c>
      <c r="C144" s="2">
        <v>0.13220999999999999</v>
      </c>
    </row>
    <row r="145" spans="2:3" x14ac:dyDescent="0.3">
      <c r="B145" s="1">
        <v>29921</v>
      </c>
      <c r="C145" s="2">
        <v>0.1396</v>
      </c>
    </row>
    <row r="146" spans="2:3" x14ac:dyDescent="0.3">
      <c r="B146" s="1">
        <v>29952</v>
      </c>
      <c r="C146" s="2">
        <v>0.14114000000000002</v>
      </c>
    </row>
    <row r="147" spans="2:3" x14ac:dyDescent="0.3">
      <c r="B147" s="1">
        <v>29983</v>
      </c>
      <c r="C147" s="2">
        <v>0.13946</v>
      </c>
    </row>
    <row r="148" spans="2:3" x14ac:dyDescent="0.3">
      <c r="B148" s="1">
        <v>30011</v>
      </c>
      <c r="C148" s="2">
        <v>0.14147999999999999</v>
      </c>
    </row>
    <row r="149" spans="2:3" x14ac:dyDescent="0.3">
      <c r="B149" s="1">
        <v>30042</v>
      </c>
      <c r="C149" s="2">
        <v>0.13844000000000001</v>
      </c>
    </row>
    <row r="150" spans="2:3" x14ac:dyDescent="0.3">
      <c r="B150" s="1">
        <v>30072</v>
      </c>
      <c r="C150" s="2">
        <v>0.13775999999999999</v>
      </c>
    </row>
    <row r="151" spans="2:3" x14ac:dyDescent="0.3">
      <c r="B151" s="1">
        <v>30103</v>
      </c>
      <c r="C151" s="2">
        <v>0.14407</v>
      </c>
    </row>
    <row r="152" spans="2:3" x14ac:dyDescent="0.3">
      <c r="B152" s="1">
        <v>30133</v>
      </c>
      <c r="C152" s="2">
        <v>0.13661000000000001</v>
      </c>
    </row>
    <row r="153" spans="2:3" x14ac:dyDescent="0.3">
      <c r="B153" s="1">
        <v>30164</v>
      </c>
      <c r="C153" s="2">
        <v>0.12792000000000001</v>
      </c>
    </row>
    <row r="154" spans="2:3" x14ac:dyDescent="0.3">
      <c r="B154" s="1">
        <v>30195</v>
      </c>
      <c r="C154" s="2">
        <v>0.11993000000000001</v>
      </c>
    </row>
    <row r="155" spans="2:3" x14ac:dyDescent="0.3">
      <c r="B155" s="1">
        <v>30225</v>
      </c>
      <c r="C155" s="2">
        <v>0.11122</v>
      </c>
    </row>
    <row r="156" spans="2:3" x14ac:dyDescent="0.3">
      <c r="B156" s="1">
        <v>30256</v>
      </c>
      <c r="C156" s="2">
        <v>0.11257</v>
      </c>
    </row>
    <row r="157" spans="2:3" x14ac:dyDescent="0.3">
      <c r="B157" s="1">
        <v>30286</v>
      </c>
      <c r="C157" s="2">
        <v>0.10319</v>
      </c>
    </row>
    <row r="158" spans="2:3" x14ac:dyDescent="0.3">
      <c r="B158" s="1">
        <v>30317</v>
      </c>
      <c r="C158" s="2">
        <v>0.10773999999999999</v>
      </c>
    </row>
    <row r="159" spans="2:3" x14ac:dyDescent="0.3">
      <c r="B159" s="1">
        <v>30348</v>
      </c>
      <c r="C159" s="2">
        <v>0.10217999999999999</v>
      </c>
    </row>
    <row r="160" spans="2:3" x14ac:dyDescent="0.3">
      <c r="B160" s="1">
        <v>30376</v>
      </c>
      <c r="C160" s="2">
        <v>0.10604</v>
      </c>
    </row>
    <row r="161" spans="2:3" x14ac:dyDescent="0.3">
      <c r="B161" s="1">
        <v>30407</v>
      </c>
      <c r="C161" s="2">
        <v>0.1024</v>
      </c>
    </row>
    <row r="162" spans="2:3" x14ac:dyDescent="0.3">
      <c r="B162" s="1">
        <v>30437</v>
      </c>
      <c r="C162" s="2">
        <v>0.10854</v>
      </c>
    </row>
    <row r="163" spans="2:3" x14ac:dyDescent="0.3">
      <c r="B163" s="1">
        <v>30468</v>
      </c>
      <c r="C163" s="2">
        <v>0.10926</v>
      </c>
    </row>
    <row r="164" spans="2:3" x14ac:dyDescent="0.3">
      <c r="B164" s="1">
        <v>30498</v>
      </c>
      <c r="C164" s="2">
        <v>0.11736000000000001</v>
      </c>
    </row>
    <row r="165" spans="2:3" x14ac:dyDescent="0.3">
      <c r="B165" s="1">
        <v>30529</v>
      </c>
      <c r="C165" s="2">
        <v>0.11798</v>
      </c>
    </row>
    <row r="166" spans="2:3" x14ac:dyDescent="0.3">
      <c r="B166" s="1">
        <v>30560</v>
      </c>
      <c r="C166" s="2">
        <v>0.11394</v>
      </c>
    </row>
    <row r="167" spans="2:3" x14ac:dyDescent="0.3">
      <c r="B167" s="1">
        <v>30590</v>
      </c>
      <c r="C167" s="2">
        <v>0.11707000000000001</v>
      </c>
    </row>
    <row r="168" spans="2:3" x14ac:dyDescent="0.3">
      <c r="B168" s="1">
        <v>30621</v>
      </c>
      <c r="C168" s="2">
        <v>0.11611</v>
      </c>
    </row>
    <row r="169" spans="2:3" x14ac:dyDescent="0.3">
      <c r="B169" s="1">
        <v>30651</v>
      </c>
      <c r="C169" s="2">
        <v>0.11781000000000001</v>
      </c>
    </row>
    <row r="170" spans="2:3" x14ac:dyDescent="0.3">
      <c r="B170" s="1">
        <v>30682</v>
      </c>
      <c r="C170" s="2">
        <v>0.11638</v>
      </c>
    </row>
    <row r="171" spans="2:3" x14ac:dyDescent="0.3">
      <c r="B171" s="1">
        <v>30713</v>
      </c>
      <c r="C171" s="2">
        <v>0.12006</v>
      </c>
    </row>
    <row r="172" spans="2:3" x14ac:dyDescent="0.3">
      <c r="B172" s="1">
        <v>30742</v>
      </c>
      <c r="C172" s="2">
        <v>0.12502000000000002</v>
      </c>
    </row>
    <row r="173" spans="2:3" x14ac:dyDescent="0.3">
      <c r="B173" s="1">
        <v>30773</v>
      </c>
      <c r="C173" s="2">
        <v>0.12798999999999999</v>
      </c>
    </row>
    <row r="174" spans="2:3" x14ac:dyDescent="0.3">
      <c r="B174" s="1">
        <v>30803</v>
      </c>
      <c r="C174" s="2">
        <v>0.13872999999999999</v>
      </c>
    </row>
    <row r="175" spans="2:3" x14ac:dyDescent="0.3">
      <c r="B175" s="1">
        <v>30834</v>
      </c>
      <c r="C175" s="2">
        <v>0.13827</v>
      </c>
    </row>
    <row r="176" spans="2:3" x14ac:dyDescent="0.3">
      <c r="B176" s="1">
        <v>30864</v>
      </c>
      <c r="C176" s="2">
        <v>0.12897</v>
      </c>
    </row>
    <row r="177" spans="2:3" x14ac:dyDescent="0.3">
      <c r="B177" s="1">
        <v>30895</v>
      </c>
      <c r="C177" s="2">
        <v>0.12858</v>
      </c>
    </row>
    <row r="178" spans="2:3" x14ac:dyDescent="0.3">
      <c r="B178" s="1">
        <v>30926</v>
      </c>
      <c r="C178" s="2">
        <v>0.12461999999999999</v>
      </c>
    </row>
    <row r="179" spans="2:3" x14ac:dyDescent="0.3">
      <c r="B179" s="1">
        <v>30956</v>
      </c>
      <c r="C179" s="2">
        <v>0.11779000000000001</v>
      </c>
    </row>
    <row r="180" spans="2:3" x14ac:dyDescent="0.3">
      <c r="B180" s="1">
        <v>30987</v>
      </c>
      <c r="C180" s="2">
        <v>0.11593000000000001</v>
      </c>
    </row>
    <row r="181" spans="2:3" x14ac:dyDescent="0.3">
      <c r="B181" s="1">
        <v>31017</v>
      </c>
      <c r="C181" s="2">
        <v>0.11541999999999999</v>
      </c>
    </row>
    <row r="182" spans="2:3" x14ac:dyDescent="0.3">
      <c r="B182" s="1">
        <v>31048</v>
      </c>
      <c r="C182" s="2">
        <v>0.11146</v>
      </c>
    </row>
    <row r="183" spans="2:3" x14ac:dyDescent="0.3">
      <c r="B183" s="1">
        <v>31079</v>
      </c>
      <c r="C183" s="2">
        <v>0.11927</v>
      </c>
    </row>
    <row r="184" spans="2:3" x14ac:dyDescent="0.3">
      <c r="B184" s="1">
        <v>31107</v>
      </c>
      <c r="C184" s="2">
        <v>0.11637</v>
      </c>
    </row>
    <row r="185" spans="2:3" x14ac:dyDescent="0.3">
      <c r="B185" s="1">
        <v>31138</v>
      </c>
      <c r="C185" s="2">
        <v>0.11396000000000001</v>
      </c>
    </row>
    <row r="186" spans="2:3" x14ac:dyDescent="0.3">
      <c r="B186" s="1">
        <v>31168</v>
      </c>
      <c r="C186" s="2">
        <v>0.10289</v>
      </c>
    </row>
    <row r="187" spans="2:3" x14ac:dyDescent="0.3">
      <c r="B187" s="1">
        <v>31199</v>
      </c>
      <c r="C187" s="2">
        <v>0.10236000000000001</v>
      </c>
    </row>
    <row r="188" spans="2:3" x14ac:dyDescent="0.3">
      <c r="B188" s="1">
        <v>31229</v>
      </c>
      <c r="C188" s="2">
        <v>0.10555999999999999</v>
      </c>
    </row>
    <row r="189" spans="2:3" x14ac:dyDescent="0.3">
      <c r="B189" s="1">
        <v>31260</v>
      </c>
      <c r="C189" s="2">
        <v>0.10321999999999999</v>
      </c>
    </row>
    <row r="190" spans="2:3" x14ac:dyDescent="0.3">
      <c r="B190" s="1">
        <v>31291</v>
      </c>
      <c r="C190" s="2">
        <v>0.10288</v>
      </c>
    </row>
    <row r="191" spans="2:3" x14ac:dyDescent="0.3">
      <c r="B191" s="1">
        <v>31321</v>
      </c>
      <c r="C191" s="2">
        <v>9.9900000000000003E-2</v>
      </c>
    </row>
    <row r="192" spans="2:3" x14ac:dyDescent="0.3">
      <c r="B192" s="1">
        <v>31352</v>
      </c>
      <c r="C192" s="2">
        <v>9.6290000000000001E-2</v>
      </c>
    </row>
    <row r="193" spans="2:3" x14ac:dyDescent="0.3">
      <c r="B193" s="1">
        <v>31382</v>
      </c>
      <c r="C193" s="2">
        <v>8.9870000000000005E-2</v>
      </c>
    </row>
    <row r="194" spans="2:3" x14ac:dyDescent="0.3">
      <c r="B194" s="1">
        <v>31413</v>
      </c>
      <c r="C194" s="2">
        <v>9.0440000000000006E-2</v>
      </c>
    </row>
    <row r="195" spans="2:3" x14ac:dyDescent="0.3">
      <c r="B195" s="1">
        <v>31444</v>
      </c>
      <c r="C195" s="2">
        <v>8.1430000000000002E-2</v>
      </c>
    </row>
    <row r="196" spans="2:3" x14ac:dyDescent="0.3">
      <c r="B196" s="1">
        <v>31472</v>
      </c>
      <c r="C196" s="2">
        <v>7.3789999999999994E-2</v>
      </c>
    </row>
    <row r="197" spans="2:3" x14ac:dyDescent="0.3">
      <c r="B197" s="1">
        <v>31503</v>
      </c>
      <c r="C197" s="2">
        <v>7.3689999999999992E-2</v>
      </c>
    </row>
    <row r="198" spans="2:3" x14ac:dyDescent="0.3">
      <c r="B198" s="1">
        <v>31533</v>
      </c>
      <c r="C198" s="2">
        <v>8.0649999999999999E-2</v>
      </c>
    </row>
    <row r="199" spans="2:3" x14ac:dyDescent="0.3">
      <c r="B199" s="1">
        <v>31564</v>
      </c>
      <c r="C199" s="2">
        <v>7.3380000000000001E-2</v>
      </c>
    </row>
    <row r="200" spans="2:3" x14ac:dyDescent="0.3">
      <c r="B200" s="1">
        <v>31594</v>
      </c>
      <c r="C200" s="2">
        <v>7.3289999999999994E-2</v>
      </c>
    </row>
    <row r="201" spans="2:3" x14ac:dyDescent="0.3">
      <c r="B201" s="1">
        <v>31625</v>
      </c>
      <c r="C201" s="2">
        <v>6.923E-2</v>
      </c>
    </row>
    <row r="202" spans="2:3" x14ac:dyDescent="0.3">
      <c r="B202" s="1">
        <v>31656</v>
      </c>
      <c r="C202" s="2">
        <v>7.4319999999999997E-2</v>
      </c>
    </row>
    <row r="203" spans="2:3" x14ac:dyDescent="0.3">
      <c r="B203" s="1">
        <v>31686</v>
      </c>
      <c r="C203" s="2">
        <v>7.3099999999999998E-2</v>
      </c>
    </row>
    <row r="204" spans="2:3" x14ac:dyDescent="0.3">
      <c r="B204" s="1">
        <v>31717</v>
      </c>
      <c r="C204" s="2">
        <v>7.2069999999999995E-2</v>
      </c>
    </row>
    <row r="205" spans="2:3" x14ac:dyDescent="0.3">
      <c r="B205" s="1">
        <v>31747</v>
      </c>
      <c r="C205" s="2">
        <v>7.22E-2</v>
      </c>
    </row>
    <row r="206" spans="2:3" x14ac:dyDescent="0.3">
      <c r="B206" s="1">
        <v>31778</v>
      </c>
      <c r="C206" s="2">
        <v>7.1599999999999997E-2</v>
      </c>
    </row>
    <row r="207" spans="2:3" x14ac:dyDescent="0.3">
      <c r="B207" s="1">
        <v>31809</v>
      </c>
      <c r="C207" s="2">
        <v>7.177E-2</v>
      </c>
    </row>
    <row r="208" spans="2:3" x14ac:dyDescent="0.3">
      <c r="B208" s="1">
        <v>31837</v>
      </c>
      <c r="C208" s="2">
        <v>7.4889999999999998E-2</v>
      </c>
    </row>
    <row r="209" spans="2:3" x14ac:dyDescent="0.3">
      <c r="B209" s="1">
        <v>31868</v>
      </c>
      <c r="C209" s="2">
        <v>8.1820000000000004E-2</v>
      </c>
    </row>
    <row r="210" spans="2:3" x14ac:dyDescent="0.3">
      <c r="B210" s="1">
        <v>31898</v>
      </c>
      <c r="C210" s="2">
        <v>8.5020000000000012E-2</v>
      </c>
    </row>
    <row r="211" spans="2:3" x14ac:dyDescent="0.3">
      <c r="B211" s="1">
        <v>31929</v>
      </c>
      <c r="C211" s="2">
        <v>8.3710000000000007E-2</v>
      </c>
    </row>
    <row r="212" spans="2:3" x14ac:dyDescent="0.3">
      <c r="B212" s="1">
        <v>31959</v>
      </c>
      <c r="C212" s="2">
        <v>8.6569999999999994E-2</v>
      </c>
    </row>
    <row r="213" spans="2:3" x14ac:dyDescent="0.3">
      <c r="B213" s="1">
        <v>31990</v>
      </c>
      <c r="C213" s="2">
        <v>8.9700000000000002E-2</v>
      </c>
    </row>
    <row r="214" spans="2:3" x14ac:dyDescent="0.3">
      <c r="B214" s="1">
        <v>32021</v>
      </c>
      <c r="C214" s="2">
        <v>9.6370000000000011E-2</v>
      </c>
    </row>
    <row r="215" spans="2:3" x14ac:dyDescent="0.3">
      <c r="B215" s="1">
        <v>32051</v>
      </c>
      <c r="C215" s="2">
        <v>8.7989999999999999E-2</v>
      </c>
    </row>
    <row r="216" spans="2:3" x14ac:dyDescent="0.3">
      <c r="B216" s="1">
        <v>32082</v>
      </c>
      <c r="C216" s="2">
        <v>8.9890000000000012E-2</v>
      </c>
    </row>
    <row r="217" spans="2:3" x14ac:dyDescent="0.3">
      <c r="B217" s="1">
        <v>32112</v>
      </c>
      <c r="C217" s="2">
        <v>8.8340000000000002E-2</v>
      </c>
    </row>
    <row r="218" spans="2:3" x14ac:dyDescent="0.3">
      <c r="B218" s="1">
        <v>32143</v>
      </c>
      <c r="C218" s="2">
        <v>8.2720000000000002E-2</v>
      </c>
    </row>
    <row r="219" spans="2:3" x14ac:dyDescent="0.3">
      <c r="B219" s="1">
        <v>32174</v>
      </c>
      <c r="C219" s="2">
        <v>8.1519999999999995E-2</v>
      </c>
    </row>
    <row r="220" spans="2:3" x14ac:dyDescent="0.3">
      <c r="B220" s="1">
        <v>32203</v>
      </c>
      <c r="C220" s="2">
        <v>8.5690000000000002E-2</v>
      </c>
    </row>
    <row r="221" spans="2:3" x14ac:dyDescent="0.3">
      <c r="B221" s="1">
        <v>32234</v>
      </c>
      <c r="C221" s="2">
        <v>8.8670000000000013E-2</v>
      </c>
    </row>
    <row r="222" spans="2:3" x14ac:dyDescent="0.3">
      <c r="B222" s="1">
        <v>32264</v>
      </c>
      <c r="C222" s="2">
        <v>9.212999999999999E-2</v>
      </c>
    </row>
    <row r="223" spans="2:3" x14ac:dyDescent="0.3">
      <c r="B223" s="1">
        <v>32295</v>
      </c>
      <c r="C223" s="2">
        <v>8.8100000000000012E-2</v>
      </c>
    </row>
    <row r="224" spans="2:3" x14ac:dyDescent="0.3">
      <c r="B224" s="1">
        <v>32325</v>
      </c>
      <c r="C224" s="2">
        <v>9.1179999999999997E-2</v>
      </c>
    </row>
    <row r="225" spans="2:3" x14ac:dyDescent="0.3">
      <c r="B225" s="1">
        <v>32356</v>
      </c>
      <c r="C225" s="2">
        <v>9.2539999999999997E-2</v>
      </c>
    </row>
    <row r="226" spans="2:3" x14ac:dyDescent="0.3">
      <c r="B226" s="1">
        <v>32387</v>
      </c>
      <c r="C226" s="2">
        <v>8.8569999999999996E-2</v>
      </c>
    </row>
    <row r="227" spans="2:3" x14ac:dyDescent="0.3">
      <c r="B227" s="1">
        <v>32417</v>
      </c>
      <c r="C227" s="2">
        <v>8.6419999999999997E-2</v>
      </c>
    </row>
    <row r="228" spans="2:3" x14ac:dyDescent="0.3">
      <c r="B228" s="1">
        <v>32448</v>
      </c>
      <c r="C228" s="2">
        <v>9.0619999999999992E-2</v>
      </c>
    </row>
    <row r="229" spans="2:3" x14ac:dyDescent="0.3">
      <c r="B229" s="1">
        <v>32478</v>
      </c>
      <c r="C229" s="2">
        <v>9.144999999999999E-2</v>
      </c>
    </row>
    <row r="230" spans="2:3" x14ac:dyDescent="0.3">
      <c r="B230" s="1">
        <v>32509</v>
      </c>
      <c r="C230" s="2">
        <v>9.0029999999999999E-2</v>
      </c>
    </row>
    <row r="231" spans="2:3" x14ac:dyDescent="0.3">
      <c r="B231" s="1">
        <v>32540</v>
      </c>
      <c r="C231" s="2">
        <v>9.3230000000000007E-2</v>
      </c>
    </row>
    <row r="232" spans="2:3" x14ac:dyDescent="0.3">
      <c r="B232" s="1">
        <v>32568</v>
      </c>
      <c r="C232" s="2">
        <v>9.3039999999999998E-2</v>
      </c>
    </row>
    <row r="233" spans="2:3" x14ac:dyDescent="0.3">
      <c r="B233" s="1">
        <v>32599</v>
      </c>
      <c r="C233" s="2">
        <v>9.018000000000001E-2</v>
      </c>
    </row>
    <row r="234" spans="2:3" x14ac:dyDescent="0.3">
      <c r="B234" s="1">
        <v>32629</v>
      </c>
      <c r="C234" s="2">
        <v>8.6029999999999995E-2</v>
      </c>
    </row>
    <row r="235" spans="2:3" x14ac:dyDescent="0.3">
      <c r="B235" s="1">
        <v>32660</v>
      </c>
      <c r="C235" s="2">
        <v>8.097E-2</v>
      </c>
    </row>
    <row r="236" spans="2:3" x14ac:dyDescent="0.3">
      <c r="B236" s="1">
        <v>32690</v>
      </c>
      <c r="C236" s="2">
        <v>7.8120000000000009E-2</v>
      </c>
    </row>
    <row r="237" spans="2:3" x14ac:dyDescent="0.3">
      <c r="B237" s="1">
        <v>32721</v>
      </c>
      <c r="C237" s="2">
        <v>8.2560000000000008E-2</v>
      </c>
    </row>
    <row r="238" spans="2:3" x14ac:dyDescent="0.3">
      <c r="B238" s="1">
        <v>32752</v>
      </c>
      <c r="C238" s="2">
        <v>8.3030000000000007E-2</v>
      </c>
    </row>
    <row r="239" spans="2:3" x14ac:dyDescent="0.3">
      <c r="B239" s="1">
        <v>32782</v>
      </c>
      <c r="C239" s="2">
        <v>7.9229999999999995E-2</v>
      </c>
    </row>
    <row r="240" spans="2:3" x14ac:dyDescent="0.3">
      <c r="B240" s="1">
        <v>32813</v>
      </c>
      <c r="C240" s="2">
        <v>7.8380000000000005E-2</v>
      </c>
    </row>
    <row r="241" spans="2:3" x14ac:dyDescent="0.3">
      <c r="B241" s="1">
        <v>32843</v>
      </c>
      <c r="C241" s="2">
        <v>7.9329999999999998E-2</v>
      </c>
    </row>
    <row r="242" spans="2:3" x14ac:dyDescent="0.3">
      <c r="B242" s="1">
        <v>32874</v>
      </c>
      <c r="C242" s="2">
        <v>8.4229999999999999E-2</v>
      </c>
    </row>
    <row r="243" spans="2:3" x14ac:dyDescent="0.3">
      <c r="B243" s="1">
        <v>32905</v>
      </c>
      <c r="C243" s="2">
        <v>8.5269999999999999E-2</v>
      </c>
    </row>
    <row r="244" spans="2:3" x14ac:dyDescent="0.3">
      <c r="B244" s="1">
        <v>32933</v>
      </c>
      <c r="C244" s="2">
        <v>8.6210000000000009E-2</v>
      </c>
    </row>
    <row r="245" spans="2:3" x14ac:dyDescent="0.3">
      <c r="B245" s="1">
        <v>32964</v>
      </c>
      <c r="C245" s="2">
        <v>9.0730000000000005E-2</v>
      </c>
    </row>
    <row r="246" spans="2:3" x14ac:dyDescent="0.3">
      <c r="B246" s="1">
        <v>32994</v>
      </c>
      <c r="C246" s="2">
        <v>8.6180000000000007E-2</v>
      </c>
    </row>
    <row r="247" spans="2:3" x14ac:dyDescent="0.3">
      <c r="B247" s="1">
        <v>33025</v>
      </c>
      <c r="C247" s="2">
        <v>8.4229999999999999E-2</v>
      </c>
    </row>
    <row r="248" spans="2:3" x14ac:dyDescent="0.3">
      <c r="B248" s="1">
        <v>33055</v>
      </c>
      <c r="C248" s="2">
        <v>8.3510000000000015E-2</v>
      </c>
    </row>
    <row r="249" spans="2:3" x14ac:dyDescent="0.3">
      <c r="B249" s="1">
        <v>33086</v>
      </c>
      <c r="C249" s="2">
        <v>8.8590000000000002E-2</v>
      </c>
    </row>
    <row r="250" spans="2:3" x14ac:dyDescent="0.3">
      <c r="B250" s="1">
        <v>33117</v>
      </c>
      <c r="C250" s="2">
        <v>8.8100000000000012E-2</v>
      </c>
    </row>
    <row r="251" spans="2:3" x14ac:dyDescent="0.3">
      <c r="B251" s="1">
        <v>33147</v>
      </c>
      <c r="C251" s="2">
        <v>8.6270000000000013E-2</v>
      </c>
    </row>
    <row r="252" spans="2:3" x14ac:dyDescent="0.3">
      <c r="B252" s="1">
        <v>33178</v>
      </c>
      <c r="C252" s="2">
        <v>8.2560000000000008E-2</v>
      </c>
    </row>
    <row r="253" spans="2:3" x14ac:dyDescent="0.3">
      <c r="B253" s="1">
        <v>33208</v>
      </c>
      <c r="C253" s="2">
        <v>8.0790000000000001E-2</v>
      </c>
    </row>
    <row r="254" spans="2:3" x14ac:dyDescent="0.3">
      <c r="B254" s="1">
        <v>33239</v>
      </c>
      <c r="C254" s="2">
        <v>8.0210000000000004E-2</v>
      </c>
    </row>
    <row r="255" spans="2:3" x14ac:dyDescent="0.3">
      <c r="B255" s="1">
        <v>33270</v>
      </c>
      <c r="C255" s="2">
        <v>8.0449999999999994E-2</v>
      </c>
    </row>
    <row r="256" spans="2:3" x14ac:dyDescent="0.3">
      <c r="B256" s="1">
        <v>33298</v>
      </c>
      <c r="C256" s="2">
        <v>8.0640000000000003E-2</v>
      </c>
    </row>
    <row r="257" spans="2:3" x14ac:dyDescent="0.3">
      <c r="B257" s="1">
        <v>33329</v>
      </c>
      <c r="C257" s="2">
        <v>8.0180000000000001E-2</v>
      </c>
    </row>
    <row r="258" spans="2:3" x14ac:dyDescent="0.3">
      <c r="B258" s="1">
        <v>33359</v>
      </c>
      <c r="C258" s="2">
        <v>8.0610000000000001E-2</v>
      </c>
    </row>
    <row r="259" spans="2:3" x14ac:dyDescent="0.3">
      <c r="B259" s="1">
        <v>33390</v>
      </c>
      <c r="C259" s="2">
        <v>8.231999999999999E-2</v>
      </c>
    </row>
    <row r="260" spans="2:3" x14ac:dyDescent="0.3">
      <c r="B260" s="1">
        <v>33420</v>
      </c>
      <c r="C260" s="2">
        <v>8.1570000000000004E-2</v>
      </c>
    </row>
    <row r="261" spans="2:3" x14ac:dyDescent="0.3">
      <c r="B261" s="1">
        <v>33451</v>
      </c>
      <c r="C261" s="2">
        <v>7.8140000000000001E-2</v>
      </c>
    </row>
    <row r="262" spans="2:3" x14ac:dyDescent="0.3">
      <c r="B262" s="1">
        <v>33482</v>
      </c>
      <c r="C262" s="2">
        <v>7.4520000000000003E-2</v>
      </c>
    </row>
    <row r="263" spans="2:3" x14ac:dyDescent="0.3">
      <c r="B263" s="1">
        <v>33512</v>
      </c>
      <c r="C263" s="2">
        <v>7.4219999999999994E-2</v>
      </c>
    </row>
    <row r="264" spans="2:3" x14ac:dyDescent="0.3">
      <c r="B264" s="1">
        <v>33543</v>
      </c>
      <c r="C264" s="2">
        <v>7.374E-2</v>
      </c>
    </row>
    <row r="265" spans="2:3" x14ac:dyDescent="0.3">
      <c r="B265" s="1">
        <v>33573</v>
      </c>
      <c r="C265" s="2">
        <v>6.6989999999999994E-2</v>
      </c>
    </row>
    <row r="266" spans="2:3" x14ac:dyDescent="0.3">
      <c r="B266" s="1">
        <v>33604</v>
      </c>
      <c r="C266" s="2">
        <v>7.2759999999999991E-2</v>
      </c>
    </row>
    <row r="267" spans="2:3" x14ac:dyDescent="0.3">
      <c r="B267" s="1">
        <v>33635</v>
      </c>
      <c r="C267" s="2">
        <v>7.2520000000000001E-2</v>
      </c>
    </row>
    <row r="268" spans="2:3" x14ac:dyDescent="0.3">
      <c r="B268" s="1">
        <v>33664</v>
      </c>
      <c r="C268" s="2">
        <v>7.5300000000000006E-2</v>
      </c>
    </row>
    <row r="269" spans="2:3" x14ac:dyDescent="0.3">
      <c r="B269" s="1">
        <v>33695</v>
      </c>
      <c r="C269" s="2">
        <v>7.5830000000000009E-2</v>
      </c>
    </row>
    <row r="270" spans="2:3" x14ac:dyDescent="0.3">
      <c r="B270" s="1">
        <v>33725</v>
      </c>
      <c r="C270" s="2">
        <v>7.3220000000000007E-2</v>
      </c>
    </row>
    <row r="271" spans="2:3" x14ac:dyDescent="0.3">
      <c r="B271" s="1">
        <v>33756</v>
      </c>
      <c r="C271" s="2">
        <v>7.1230000000000002E-2</v>
      </c>
    </row>
    <row r="272" spans="2:3" x14ac:dyDescent="0.3">
      <c r="B272" s="1">
        <v>33786</v>
      </c>
      <c r="C272" s="2">
        <v>6.6959999999999992E-2</v>
      </c>
    </row>
    <row r="273" spans="2:3" x14ac:dyDescent="0.3">
      <c r="B273" s="1">
        <v>33817</v>
      </c>
      <c r="C273" s="2">
        <v>6.6040000000000001E-2</v>
      </c>
    </row>
    <row r="274" spans="2:3" x14ac:dyDescent="0.3">
      <c r="B274" s="1">
        <v>33848</v>
      </c>
      <c r="C274" s="2">
        <v>6.3539999999999999E-2</v>
      </c>
    </row>
    <row r="275" spans="2:3" x14ac:dyDescent="0.3">
      <c r="B275" s="1">
        <v>33878</v>
      </c>
      <c r="C275" s="2">
        <v>6.7889999999999992E-2</v>
      </c>
    </row>
    <row r="276" spans="2:3" x14ac:dyDescent="0.3">
      <c r="B276" s="1">
        <v>33909</v>
      </c>
      <c r="C276" s="2">
        <v>6.9279999999999994E-2</v>
      </c>
    </row>
    <row r="277" spans="2:3" x14ac:dyDescent="0.3">
      <c r="B277" s="1">
        <v>33939</v>
      </c>
      <c r="C277" s="2">
        <v>6.6900000000000001E-2</v>
      </c>
    </row>
    <row r="278" spans="2:3" x14ac:dyDescent="0.3">
      <c r="B278" s="1">
        <v>33970</v>
      </c>
      <c r="C278" s="2">
        <v>6.361E-2</v>
      </c>
    </row>
    <row r="279" spans="2:3" x14ac:dyDescent="0.3">
      <c r="B279" s="1">
        <v>34001</v>
      </c>
      <c r="C279" s="2">
        <v>6.0129999999999996E-2</v>
      </c>
    </row>
    <row r="280" spans="2:3" x14ac:dyDescent="0.3">
      <c r="B280" s="1">
        <v>34029</v>
      </c>
      <c r="C280" s="2">
        <v>6.0240000000000002E-2</v>
      </c>
    </row>
    <row r="281" spans="2:3" x14ac:dyDescent="0.3">
      <c r="B281" s="1">
        <v>34060</v>
      </c>
      <c r="C281" s="2">
        <v>6.0090000000000005E-2</v>
      </c>
    </row>
    <row r="282" spans="2:3" x14ac:dyDescent="0.3">
      <c r="B282" s="1">
        <v>34090</v>
      </c>
      <c r="C282" s="2">
        <v>6.1100000000000002E-2</v>
      </c>
    </row>
    <row r="283" spans="2:3" x14ac:dyDescent="0.3">
      <c r="B283" s="1">
        <v>34121</v>
      </c>
      <c r="C283" s="2">
        <v>5.7779999999999998E-2</v>
      </c>
    </row>
    <row r="284" spans="2:3" x14ac:dyDescent="0.3">
      <c r="B284" s="1">
        <v>34151</v>
      </c>
      <c r="C284" s="2">
        <v>5.8090000000000003E-2</v>
      </c>
    </row>
    <row r="285" spans="2:3" x14ac:dyDescent="0.3">
      <c r="B285" s="1">
        <v>34182</v>
      </c>
      <c r="C285" s="2">
        <v>5.4459999999999995E-2</v>
      </c>
    </row>
    <row r="286" spans="2:3" x14ac:dyDescent="0.3">
      <c r="B286" s="1">
        <v>34213</v>
      </c>
      <c r="C286" s="2">
        <v>5.3739999999999996E-2</v>
      </c>
    </row>
    <row r="287" spans="2:3" x14ac:dyDescent="0.3">
      <c r="B287" s="1">
        <v>34243</v>
      </c>
      <c r="C287" s="2">
        <v>5.4199999999999998E-2</v>
      </c>
    </row>
    <row r="288" spans="2:3" x14ac:dyDescent="0.3">
      <c r="B288" s="1">
        <v>34274</v>
      </c>
      <c r="C288" s="2">
        <v>5.8169999999999999E-2</v>
      </c>
    </row>
    <row r="289" spans="2:3" x14ac:dyDescent="0.3">
      <c r="B289" s="1">
        <v>34304</v>
      </c>
      <c r="C289" s="2">
        <v>5.7869999999999998E-2</v>
      </c>
    </row>
    <row r="290" spans="2:3" x14ac:dyDescent="0.3">
      <c r="B290" s="1">
        <v>34335</v>
      </c>
      <c r="C290" s="2">
        <v>5.6449999999999993E-2</v>
      </c>
    </row>
    <row r="291" spans="2:3" x14ac:dyDescent="0.3">
      <c r="B291" s="1">
        <v>34366</v>
      </c>
      <c r="C291" s="2">
        <v>6.1330000000000003E-2</v>
      </c>
    </row>
    <row r="292" spans="2:3" x14ac:dyDescent="0.3">
      <c r="B292" s="1">
        <v>34394</v>
      </c>
      <c r="C292" s="2">
        <v>6.7380000000000009E-2</v>
      </c>
    </row>
    <row r="293" spans="2:3" x14ac:dyDescent="0.3">
      <c r="B293" s="1">
        <v>34425</v>
      </c>
      <c r="C293" s="2">
        <v>7.041E-2</v>
      </c>
    </row>
    <row r="294" spans="2:3" x14ac:dyDescent="0.3">
      <c r="B294" s="1">
        <v>34455</v>
      </c>
      <c r="C294" s="2">
        <v>7.152E-2</v>
      </c>
    </row>
    <row r="295" spans="2:3" x14ac:dyDescent="0.3">
      <c r="B295" s="1">
        <v>34486</v>
      </c>
      <c r="C295" s="2">
        <v>7.3249999999999996E-2</v>
      </c>
    </row>
    <row r="296" spans="2:3" x14ac:dyDescent="0.3">
      <c r="B296" s="1">
        <v>34516</v>
      </c>
      <c r="C296" s="2">
        <v>7.1129999999999999E-2</v>
      </c>
    </row>
    <row r="297" spans="2:3" x14ac:dyDescent="0.3">
      <c r="B297" s="1">
        <v>34547</v>
      </c>
      <c r="C297" s="2">
        <v>7.1779999999999997E-2</v>
      </c>
    </row>
    <row r="298" spans="2:3" x14ac:dyDescent="0.3">
      <c r="B298" s="1">
        <v>34578</v>
      </c>
      <c r="C298" s="2">
        <v>7.6079999999999995E-2</v>
      </c>
    </row>
    <row r="299" spans="2:3" x14ac:dyDescent="0.3">
      <c r="B299" s="1">
        <v>34608</v>
      </c>
      <c r="C299" s="2">
        <v>7.8120000000000009E-2</v>
      </c>
    </row>
    <row r="300" spans="2:3" x14ac:dyDescent="0.3">
      <c r="B300" s="1">
        <v>34639</v>
      </c>
      <c r="C300" s="2">
        <v>7.9059999999999991E-2</v>
      </c>
    </row>
    <row r="301" spans="2:3" x14ac:dyDescent="0.3">
      <c r="B301" s="1">
        <v>34669</v>
      </c>
      <c r="C301" s="2">
        <v>7.8310000000000005E-2</v>
      </c>
    </row>
    <row r="302" spans="2:3" x14ac:dyDescent="0.3">
      <c r="B302" s="1">
        <v>34700</v>
      </c>
      <c r="C302" s="2">
        <v>7.5789999999999996E-2</v>
      </c>
    </row>
    <row r="303" spans="2:3" x14ac:dyDescent="0.3">
      <c r="B303" s="1">
        <v>34731</v>
      </c>
      <c r="C303" s="2">
        <v>7.2050000000000003E-2</v>
      </c>
    </row>
    <row r="304" spans="2:3" x14ac:dyDescent="0.3">
      <c r="B304" s="1">
        <v>34759</v>
      </c>
      <c r="C304" s="2">
        <v>7.1980000000000002E-2</v>
      </c>
    </row>
    <row r="305" spans="2:3" x14ac:dyDescent="0.3">
      <c r="B305" s="1">
        <v>34790</v>
      </c>
      <c r="C305" s="2">
        <v>7.0550000000000002E-2</v>
      </c>
    </row>
    <row r="306" spans="2:3" x14ac:dyDescent="0.3">
      <c r="B306" s="1">
        <v>34820</v>
      </c>
      <c r="C306" s="2">
        <v>6.2859999999999999E-2</v>
      </c>
    </row>
    <row r="307" spans="2:3" x14ac:dyDescent="0.3">
      <c r="B307" s="1">
        <v>34851</v>
      </c>
      <c r="C307" s="2">
        <v>6.207E-2</v>
      </c>
    </row>
    <row r="308" spans="2:3" x14ac:dyDescent="0.3">
      <c r="B308" s="1">
        <v>34881</v>
      </c>
      <c r="C308" s="2">
        <v>6.4240000000000005E-2</v>
      </c>
    </row>
    <row r="309" spans="2:3" x14ac:dyDescent="0.3">
      <c r="B309" s="1">
        <v>34912</v>
      </c>
      <c r="C309" s="2">
        <v>6.2859999999999999E-2</v>
      </c>
    </row>
    <row r="310" spans="2:3" x14ac:dyDescent="0.3">
      <c r="B310" s="1">
        <v>34943</v>
      </c>
      <c r="C310" s="2">
        <v>6.1820000000000007E-2</v>
      </c>
    </row>
    <row r="311" spans="2:3" x14ac:dyDescent="0.3">
      <c r="B311" s="1">
        <v>34973</v>
      </c>
      <c r="C311" s="2">
        <v>6.0240000000000002E-2</v>
      </c>
    </row>
    <row r="312" spans="2:3" x14ac:dyDescent="0.3">
      <c r="B312" s="1">
        <v>35004</v>
      </c>
      <c r="C312" s="2">
        <v>5.7450000000000001E-2</v>
      </c>
    </row>
    <row r="313" spans="2:3" x14ac:dyDescent="0.3">
      <c r="B313" s="1">
        <v>35034</v>
      </c>
      <c r="C313" s="2">
        <v>5.5750000000000001E-2</v>
      </c>
    </row>
    <row r="314" spans="2:3" x14ac:dyDescent="0.3">
      <c r="B314" s="1">
        <v>35065</v>
      </c>
      <c r="C314" s="2">
        <v>5.5759999999999997E-2</v>
      </c>
    </row>
    <row r="315" spans="2:3" x14ac:dyDescent="0.3">
      <c r="B315" s="1">
        <v>35096</v>
      </c>
      <c r="C315" s="2">
        <v>6.1030000000000001E-2</v>
      </c>
    </row>
    <row r="316" spans="2:3" x14ac:dyDescent="0.3">
      <c r="B316" s="1">
        <v>35125</v>
      </c>
      <c r="C316" s="2">
        <v>6.3339999999999994E-2</v>
      </c>
    </row>
    <row r="317" spans="2:3" x14ac:dyDescent="0.3">
      <c r="B317" s="1">
        <v>35156</v>
      </c>
      <c r="C317" s="2">
        <v>6.6790000000000002E-2</v>
      </c>
    </row>
    <row r="318" spans="2:3" x14ac:dyDescent="0.3">
      <c r="B318" s="1">
        <v>35186</v>
      </c>
      <c r="C318" s="2">
        <v>6.8479999999999999E-2</v>
      </c>
    </row>
    <row r="319" spans="2:3" x14ac:dyDescent="0.3">
      <c r="B319" s="1">
        <v>35217</v>
      </c>
      <c r="C319" s="2">
        <v>6.7159999999999997E-2</v>
      </c>
    </row>
    <row r="320" spans="2:3" x14ac:dyDescent="0.3">
      <c r="B320" s="1">
        <v>35247</v>
      </c>
      <c r="C320" s="2">
        <v>6.7979999999999999E-2</v>
      </c>
    </row>
    <row r="321" spans="2:3" x14ac:dyDescent="0.3">
      <c r="B321" s="1">
        <v>35278</v>
      </c>
      <c r="C321" s="2">
        <v>6.9449999999999998E-2</v>
      </c>
    </row>
    <row r="322" spans="2:3" x14ac:dyDescent="0.3">
      <c r="B322" s="1">
        <v>35309</v>
      </c>
      <c r="C322" s="2">
        <v>6.7030000000000006E-2</v>
      </c>
    </row>
    <row r="323" spans="2:3" x14ac:dyDescent="0.3">
      <c r="B323" s="1">
        <v>35339</v>
      </c>
      <c r="C323" s="2">
        <v>6.3410000000000008E-2</v>
      </c>
    </row>
    <row r="324" spans="2:3" x14ac:dyDescent="0.3">
      <c r="B324" s="1">
        <v>35370</v>
      </c>
      <c r="C324" s="2">
        <v>6.0479999999999999E-2</v>
      </c>
    </row>
    <row r="325" spans="2:3" x14ac:dyDescent="0.3">
      <c r="B325" s="1">
        <v>35400</v>
      </c>
      <c r="C325" s="2">
        <v>6.429E-2</v>
      </c>
    </row>
    <row r="326" spans="2:3" x14ac:dyDescent="0.3">
      <c r="B326" s="1">
        <v>35431</v>
      </c>
      <c r="C326" s="2">
        <v>6.5030000000000004E-2</v>
      </c>
    </row>
    <row r="327" spans="2:3" x14ac:dyDescent="0.3">
      <c r="B327" s="1">
        <v>35462</v>
      </c>
      <c r="C327" s="2">
        <v>6.5560000000000007E-2</v>
      </c>
    </row>
    <row r="328" spans="2:3" x14ac:dyDescent="0.3">
      <c r="B328" s="1">
        <v>35490</v>
      </c>
      <c r="C328" s="2">
        <v>6.9070000000000006E-2</v>
      </c>
    </row>
    <row r="329" spans="2:3" x14ac:dyDescent="0.3">
      <c r="B329" s="1">
        <v>35521</v>
      </c>
      <c r="C329" s="2">
        <v>6.7150000000000001E-2</v>
      </c>
    </row>
    <row r="330" spans="2:3" x14ac:dyDescent="0.3">
      <c r="B330" s="1">
        <v>35551</v>
      </c>
      <c r="C330" s="2">
        <v>6.6630000000000009E-2</v>
      </c>
    </row>
    <row r="331" spans="2:3" x14ac:dyDescent="0.3">
      <c r="B331" s="1">
        <v>35582</v>
      </c>
      <c r="C331" s="2">
        <v>6.5019999999999994E-2</v>
      </c>
    </row>
    <row r="332" spans="2:3" x14ac:dyDescent="0.3">
      <c r="B332" s="1">
        <v>35612</v>
      </c>
      <c r="C332" s="2">
        <v>6.0129999999999996E-2</v>
      </c>
    </row>
    <row r="333" spans="2:3" x14ac:dyDescent="0.3">
      <c r="B333" s="1">
        <v>35643</v>
      </c>
      <c r="C333" s="2">
        <v>6.3390000000000002E-2</v>
      </c>
    </row>
    <row r="334" spans="2:3" x14ac:dyDescent="0.3">
      <c r="B334" s="1">
        <v>35674</v>
      </c>
      <c r="C334" s="2">
        <v>6.1030000000000001E-2</v>
      </c>
    </row>
    <row r="335" spans="2:3" x14ac:dyDescent="0.3">
      <c r="B335" s="1">
        <v>35704</v>
      </c>
      <c r="C335" s="2">
        <v>5.8310000000000001E-2</v>
      </c>
    </row>
    <row r="336" spans="2:3" x14ac:dyDescent="0.3">
      <c r="B336" s="1">
        <v>35735</v>
      </c>
      <c r="C336" s="2">
        <v>5.8799999999999998E-2</v>
      </c>
    </row>
    <row r="337" spans="2:3" x14ac:dyDescent="0.3">
      <c r="B337" s="1">
        <v>35765</v>
      </c>
      <c r="C337" s="2">
        <v>5.7439999999999998E-2</v>
      </c>
    </row>
    <row r="338" spans="2:3" x14ac:dyDescent="0.3">
      <c r="B338" s="1">
        <v>35796</v>
      </c>
      <c r="C338" s="2">
        <v>5.5160000000000001E-2</v>
      </c>
    </row>
    <row r="339" spans="2:3" x14ac:dyDescent="0.3">
      <c r="B339" s="1">
        <v>35827</v>
      </c>
      <c r="C339" s="2">
        <v>5.6239999999999998E-2</v>
      </c>
    </row>
    <row r="340" spans="2:3" x14ac:dyDescent="0.3">
      <c r="B340" s="1">
        <v>35855</v>
      </c>
      <c r="C340" s="2">
        <v>5.6580000000000005E-2</v>
      </c>
    </row>
    <row r="341" spans="2:3" x14ac:dyDescent="0.3">
      <c r="B341" s="1">
        <v>35886</v>
      </c>
      <c r="C341" s="2">
        <v>5.8200000000000002E-2</v>
      </c>
    </row>
    <row r="342" spans="2:3" x14ac:dyDescent="0.3">
      <c r="B342" s="1">
        <v>35916</v>
      </c>
      <c r="C342" s="2">
        <v>5.5579999999999997E-2</v>
      </c>
    </row>
    <row r="343" spans="2:3" x14ac:dyDescent="0.3">
      <c r="B343" s="1">
        <v>35947</v>
      </c>
      <c r="C343" s="2">
        <v>5.4459999999999995E-2</v>
      </c>
    </row>
    <row r="344" spans="2:3" x14ac:dyDescent="0.3">
      <c r="B344" s="1">
        <v>35977</v>
      </c>
      <c r="C344" s="2">
        <v>5.4939999999999996E-2</v>
      </c>
    </row>
    <row r="345" spans="2:3" x14ac:dyDescent="0.3">
      <c r="B345" s="1">
        <v>36008</v>
      </c>
      <c r="C345" s="2">
        <v>5.0479999999999997E-2</v>
      </c>
    </row>
    <row r="346" spans="2:3" x14ac:dyDescent="0.3">
      <c r="B346" s="1">
        <v>36039</v>
      </c>
      <c r="C346" s="2">
        <v>4.4219999999999995E-2</v>
      </c>
    </row>
    <row r="347" spans="2:3" x14ac:dyDescent="0.3">
      <c r="B347" s="1">
        <v>36069</v>
      </c>
      <c r="C347" s="2">
        <v>4.6029999999999995E-2</v>
      </c>
    </row>
    <row r="348" spans="2:3" x14ac:dyDescent="0.3">
      <c r="B348" s="1">
        <v>36100</v>
      </c>
      <c r="C348" s="2">
        <v>4.7220000000000005E-2</v>
      </c>
    </row>
    <row r="349" spans="2:3" x14ac:dyDescent="0.3">
      <c r="B349" s="1">
        <v>36130</v>
      </c>
      <c r="C349" s="2">
        <v>4.6580000000000003E-2</v>
      </c>
    </row>
    <row r="350" spans="2:3" x14ac:dyDescent="0.3">
      <c r="B350" s="1">
        <v>36161</v>
      </c>
      <c r="C350" s="2">
        <v>4.6529999999999995E-2</v>
      </c>
    </row>
    <row r="351" spans="2:3" x14ac:dyDescent="0.3">
      <c r="B351" s="1">
        <v>36192</v>
      </c>
      <c r="C351" s="2">
        <v>5.2939999999999994E-2</v>
      </c>
    </row>
    <row r="352" spans="2:3" x14ac:dyDescent="0.3">
      <c r="B352" s="1">
        <v>36220</v>
      </c>
      <c r="C352" s="2">
        <v>5.2420000000000001E-2</v>
      </c>
    </row>
    <row r="353" spans="2:3" x14ac:dyDescent="0.3">
      <c r="B353" s="1">
        <v>36251</v>
      </c>
      <c r="C353" s="2">
        <v>5.3499999999999999E-2</v>
      </c>
    </row>
    <row r="354" spans="2:3" x14ac:dyDescent="0.3">
      <c r="B354" s="1">
        <v>36281</v>
      </c>
      <c r="C354" s="2">
        <v>5.6239999999999998E-2</v>
      </c>
    </row>
    <row r="355" spans="2:3" x14ac:dyDescent="0.3">
      <c r="B355" s="1">
        <v>36312</v>
      </c>
      <c r="C355" s="2">
        <v>5.7849999999999999E-2</v>
      </c>
    </row>
    <row r="356" spans="2:3" x14ac:dyDescent="0.3">
      <c r="B356" s="1">
        <v>36342</v>
      </c>
      <c r="C356" s="2">
        <v>5.9020000000000003E-2</v>
      </c>
    </row>
    <row r="357" spans="2:3" x14ac:dyDescent="0.3">
      <c r="B357" s="1">
        <v>36373</v>
      </c>
      <c r="C357" s="2">
        <v>5.9740000000000001E-2</v>
      </c>
    </row>
    <row r="358" spans="2:3" x14ac:dyDescent="0.3">
      <c r="B358" s="1">
        <v>36404</v>
      </c>
      <c r="C358" s="2">
        <v>5.8810000000000001E-2</v>
      </c>
    </row>
    <row r="359" spans="2:3" x14ac:dyDescent="0.3">
      <c r="B359" s="1">
        <v>36434</v>
      </c>
      <c r="C359" s="2">
        <v>6.0279999999999993E-2</v>
      </c>
    </row>
    <row r="360" spans="2:3" x14ac:dyDescent="0.3">
      <c r="B360" s="1">
        <v>36465</v>
      </c>
      <c r="C360" s="2">
        <v>6.1929999999999999E-2</v>
      </c>
    </row>
    <row r="361" spans="2:3" x14ac:dyDescent="0.3">
      <c r="B361" s="1">
        <v>36495</v>
      </c>
      <c r="C361" s="2">
        <v>6.4349999999999991E-2</v>
      </c>
    </row>
    <row r="362" spans="2:3" x14ac:dyDescent="0.3">
      <c r="B362" s="1">
        <v>36526</v>
      </c>
      <c r="C362" s="2">
        <v>6.6619999999999999E-2</v>
      </c>
    </row>
    <row r="363" spans="2:3" x14ac:dyDescent="0.3">
      <c r="B363" s="1">
        <v>36557</v>
      </c>
      <c r="C363" s="2">
        <v>6.4089999999999994E-2</v>
      </c>
    </row>
    <row r="364" spans="2:3" x14ac:dyDescent="0.3">
      <c r="B364" s="1">
        <v>36586</v>
      </c>
      <c r="C364" s="2">
        <v>6.0019999999999997E-2</v>
      </c>
    </row>
    <row r="365" spans="2:3" x14ac:dyDescent="0.3">
      <c r="B365" s="1">
        <v>36617</v>
      </c>
      <c r="C365" s="2">
        <v>6.2179999999999999E-2</v>
      </c>
    </row>
    <row r="366" spans="2:3" x14ac:dyDescent="0.3">
      <c r="B366" s="1">
        <v>36647</v>
      </c>
      <c r="C366" s="2">
        <v>6.2850000000000003E-2</v>
      </c>
    </row>
    <row r="367" spans="2:3" x14ac:dyDescent="0.3">
      <c r="B367" s="1">
        <v>36678</v>
      </c>
      <c r="C367" s="2">
        <v>6.0270000000000004E-2</v>
      </c>
    </row>
    <row r="368" spans="2:3" x14ac:dyDescent="0.3">
      <c r="B368" s="1">
        <v>36708</v>
      </c>
      <c r="C368" s="2">
        <v>6.0400000000000002E-2</v>
      </c>
    </row>
    <row r="369" spans="2:3" x14ac:dyDescent="0.3">
      <c r="B369" s="1">
        <v>36739</v>
      </c>
      <c r="C369" s="2">
        <v>5.7290000000000001E-2</v>
      </c>
    </row>
    <row r="370" spans="2:3" x14ac:dyDescent="0.3">
      <c r="B370" s="1">
        <v>36770</v>
      </c>
      <c r="C370" s="2">
        <v>5.808E-2</v>
      </c>
    </row>
    <row r="371" spans="2:3" x14ac:dyDescent="0.3">
      <c r="B371" s="1">
        <v>36800</v>
      </c>
      <c r="C371" s="2">
        <v>5.7610000000000001E-2</v>
      </c>
    </row>
    <row r="372" spans="2:3" x14ac:dyDescent="0.3">
      <c r="B372" s="1">
        <v>36831</v>
      </c>
      <c r="C372" s="2">
        <v>5.4779999999999995E-2</v>
      </c>
    </row>
    <row r="373" spans="2:3" x14ac:dyDescent="0.3">
      <c r="B373" s="1">
        <v>36861</v>
      </c>
      <c r="C373" s="2">
        <v>5.1119999999999999E-2</v>
      </c>
    </row>
    <row r="374" spans="2:3" x14ac:dyDescent="0.3">
      <c r="B374" s="1">
        <v>36892</v>
      </c>
      <c r="C374" s="2">
        <v>5.1119999999999999E-2</v>
      </c>
    </row>
    <row r="375" spans="2:3" x14ac:dyDescent="0.3">
      <c r="B375" s="1">
        <v>36923</v>
      </c>
      <c r="C375" s="2">
        <v>4.904E-2</v>
      </c>
    </row>
    <row r="376" spans="2:3" x14ac:dyDescent="0.3">
      <c r="B376" s="1">
        <v>36951</v>
      </c>
      <c r="C376" s="2">
        <v>4.9149999999999999E-2</v>
      </c>
    </row>
    <row r="377" spans="2:3" x14ac:dyDescent="0.3">
      <c r="B377" s="1">
        <v>36982</v>
      </c>
      <c r="C377" s="2">
        <v>5.3360000000000005E-2</v>
      </c>
    </row>
    <row r="378" spans="2:3" x14ac:dyDescent="0.3">
      <c r="B378" s="1">
        <v>37012</v>
      </c>
      <c r="C378" s="2">
        <v>5.3849999999999995E-2</v>
      </c>
    </row>
    <row r="379" spans="2:3" x14ac:dyDescent="0.3">
      <c r="B379" s="1">
        <v>37043</v>
      </c>
      <c r="C379" s="2">
        <v>5.4039999999999998E-2</v>
      </c>
    </row>
    <row r="380" spans="2:3" x14ac:dyDescent="0.3">
      <c r="B380" s="1">
        <v>37073</v>
      </c>
      <c r="C380" s="2">
        <v>5.0549999999999998E-2</v>
      </c>
    </row>
    <row r="381" spans="2:3" x14ac:dyDescent="0.3">
      <c r="B381" s="1">
        <v>37104</v>
      </c>
      <c r="C381" s="2">
        <v>4.8399999999999999E-2</v>
      </c>
    </row>
    <row r="382" spans="2:3" x14ac:dyDescent="0.3">
      <c r="B382" s="1">
        <v>37135</v>
      </c>
      <c r="C382" s="2">
        <v>4.5899999999999996E-2</v>
      </c>
    </row>
    <row r="383" spans="2:3" x14ac:dyDescent="0.3">
      <c r="B383" s="1">
        <v>37165</v>
      </c>
      <c r="C383" s="2">
        <v>4.2439999999999999E-2</v>
      </c>
    </row>
    <row r="384" spans="2:3" x14ac:dyDescent="0.3">
      <c r="B384" s="1">
        <v>37196</v>
      </c>
      <c r="C384" s="2">
        <v>4.7539999999999999E-2</v>
      </c>
    </row>
    <row r="385" spans="2:3" x14ac:dyDescent="0.3">
      <c r="B385" s="1">
        <v>37226</v>
      </c>
      <c r="C385" s="2">
        <v>5.0290000000000001E-2</v>
      </c>
    </row>
    <row r="386" spans="2:3" x14ac:dyDescent="0.3">
      <c r="B386" s="1">
        <v>37257</v>
      </c>
      <c r="C386" s="2">
        <v>5.0460000000000005E-2</v>
      </c>
    </row>
    <row r="387" spans="2:3" x14ac:dyDescent="0.3">
      <c r="B387" s="1">
        <v>37288</v>
      </c>
      <c r="C387" s="2">
        <v>4.8739999999999999E-2</v>
      </c>
    </row>
    <row r="388" spans="2:3" x14ac:dyDescent="0.3">
      <c r="B388" s="1">
        <v>37316</v>
      </c>
      <c r="C388" s="2">
        <v>5.4059999999999997E-2</v>
      </c>
    </row>
    <row r="389" spans="2:3" x14ac:dyDescent="0.3">
      <c r="B389" s="1">
        <v>37347</v>
      </c>
      <c r="C389" s="2">
        <v>5.0890000000000005E-2</v>
      </c>
    </row>
    <row r="390" spans="2:3" x14ac:dyDescent="0.3">
      <c r="B390" s="1">
        <v>37377</v>
      </c>
      <c r="C390" s="2">
        <v>5.0450000000000002E-2</v>
      </c>
    </row>
    <row r="391" spans="2:3" x14ac:dyDescent="0.3">
      <c r="B391" s="1">
        <v>37408</v>
      </c>
      <c r="C391" s="2">
        <v>4.8090000000000001E-2</v>
      </c>
    </row>
    <row r="392" spans="2:3" x14ac:dyDescent="0.3">
      <c r="B392" s="1">
        <v>37438</v>
      </c>
      <c r="C392" s="2">
        <v>4.4589999999999998E-2</v>
      </c>
    </row>
    <row r="393" spans="2:3" x14ac:dyDescent="0.3">
      <c r="B393" s="1">
        <v>37469</v>
      </c>
      <c r="C393" s="2">
        <v>4.1299999999999996E-2</v>
      </c>
    </row>
    <row r="394" spans="2:3" x14ac:dyDescent="0.3">
      <c r="B394" s="1">
        <v>37500</v>
      </c>
      <c r="C394" s="2">
        <v>3.6000000000000004E-2</v>
      </c>
    </row>
    <row r="395" spans="2:3" x14ac:dyDescent="0.3">
      <c r="B395" s="1">
        <v>37530</v>
      </c>
      <c r="C395" s="2">
        <v>3.8949999999999999E-2</v>
      </c>
    </row>
    <row r="396" spans="2:3" x14ac:dyDescent="0.3">
      <c r="B396" s="1">
        <v>37561</v>
      </c>
      <c r="C396" s="2">
        <v>4.2110000000000002E-2</v>
      </c>
    </row>
    <row r="397" spans="2:3" x14ac:dyDescent="0.3">
      <c r="B397" s="1">
        <v>37591</v>
      </c>
      <c r="C397" s="2">
        <v>3.8179999999999999E-2</v>
      </c>
    </row>
    <row r="398" spans="2:3" x14ac:dyDescent="0.3">
      <c r="B398" s="1">
        <v>37622</v>
      </c>
      <c r="C398" s="2">
        <v>3.9660000000000001E-2</v>
      </c>
    </row>
    <row r="399" spans="2:3" x14ac:dyDescent="0.3">
      <c r="B399" s="1">
        <v>37653</v>
      </c>
      <c r="C399" s="2">
        <v>3.6920000000000001E-2</v>
      </c>
    </row>
    <row r="400" spans="2:3" x14ac:dyDescent="0.3">
      <c r="B400" s="1">
        <v>37681</v>
      </c>
      <c r="C400" s="2">
        <v>3.8019999999999998E-2</v>
      </c>
    </row>
    <row r="401" spans="2:3" x14ac:dyDescent="0.3">
      <c r="B401" s="1">
        <v>37712</v>
      </c>
      <c r="C401" s="2">
        <v>3.8399999999999997E-2</v>
      </c>
    </row>
    <row r="402" spans="2:3" x14ac:dyDescent="0.3">
      <c r="B402" s="1">
        <v>37742</v>
      </c>
      <c r="C402" s="2">
        <v>3.3730000000000003E-2</v>
      </c>
    </row>
    <row r="403" spans="2:3" x14ac:dyDescent="0.3">
      <c r="B403" s="1">
        <v>37773</v>
      </c>
      <c r="C403" s="2">
        <v>3.5159999999999997E-2</v>
      </c>
    </row>
    <row r="404" spans="2:3" x14ac:dyDescent="0.3">
      <c r="B404" s="1">
        <v>37803</v>
      </c>
      <c r="C404" s="2">
        <v>4.41E-2</v>
      </c>
    </row>
    <row r="405" spans="2:3" x14ac:dyDescent="0.3">
      <c r="B405" s="1">
        <v>37834</v>
      </c>
      <c r="C405" s="2">
        <v>4.4699999999999997E-2</v>
      </c>
    </row>
    <row r="406" spans="2:3" x14ac:dyDescent="0.3">
      <c r="B406" s="1">
        <v>37865</v>
      </c>
      <c r="C406" s="2">
        <v>3.9399999999999998E-2</v>
      </c>
    </row>
    <row r="407" spans="2:3" x14ac:dyDescent="0.3">
      <c r="B407" s="1">
        <v>37895</v>
      </c>
      <c r="C407" s="2">
        <v>4.2969999999999994E-2</v>
      </c>
    </row>
    <row r="408" spans="2:3" x14ac:dyDescent="0.3">
      <c r="B408" s="1">
        <v>37926</v>
      </c>
      <c r="C408" s="2">
        <v>4.3339999999999997E-2</v>
      </c>
    </row>
    <row r="409" spans="2:3" x14ac:dyDescent="0.3">
      <c r="B409" s="1">
        <v>37956</v>
      </c>
      <c r="C409" s="2">
        <v>4.2529999999999998E-2</v>
      </c>
    </row>
    <row r="410" spans="2:3" x14ac:dyDescent="0.3">
      <c r="B410" s="1">
        <v>37987</v>
      </c>
      <c r="C410" s="2">
        <v>4.1340000000000002E-2</v>
      </c>
    </row>
    <row r="411" spans="2:3" x14ac:dyDescent="0.3">
      <c r="B411" s="1">
        <v>38018</v>
      </c>
      <c r="C411" s="2">
        <v>3.9719999999999998E-2</v>
      </c>
    </row>
    <row r="412" spans="2:3" x14ac:dyDescent="0.3">
      <c r="B412" s="1">
        <v>38047</v>
      </c>
      <c r="C412" s="2">
        <v>3.8370000000000001E-2</v>
      </c>
    </row>
    <row r="413" spans="2:3" x14ac:dyDescent="0.3">
      <c r="B413" s="1">
        <v>38078</v>
      </c>
      <c r="C413" s="2">
        <v>4.5100000000000001E-2</v>
      </c>
    </row>
    <row r="414" spans="2:3" x14ac:dyDescent="0.3">
      <c r="B414" s="1">
        <v>38108</v>
      </c>
      <c r="C414" s="2">
        <v>4.6649999999999997E-2</v>
      </c>
    </row>
    <row r="415" spans="2:3" x14ac:dyDescent="0.3">
      <c r="B415" s="1">
        <v>38139</v>
      </c>
      <c r="C415" s="2">
        <v>4.5830000000000003E-2</v>
      </c>
    </row>
    <row r="416" spans="2:3" x14ac:dyDescent="0.3">
      <c r="B416" s="1">
        <v>38169</v>
      </c>
      <c r="C416" s="2">
        <v>4.4909999999999999E-2</v>
      </c>
    </row>
    <row r="417" spans="2:3" x14ac:dyDescent="0.3">
      <c r="B417" s="1">
        <v>38200</v>
      </c>
      <c r="C417" s="2">
        <v>4.24E-2</v>
      </c>
    </row>
    <row r="418" spans="2:3" x14ac:dyDescent="0.3">
      <c r="B418" s="1">
        <v>38231</v>
      </c>
      <c r="C418" s="2">
        <v>4.1230000000000003E-2</v>
      </c>
    </row>
    <row r="419" spans="2:3" x14ac:dyDescent="0.3">
      <c r="B419" s="1">
        <v>38261</v>
      </c>
      <c r="C419" s="2">
        <v>4.0289999999999999E-2</v>
      </c>
    </row>
    <row r="420" spans="2:3" x14ac:dyDescent="0.3">
      <c r="B420" s="1">
        <v>38292</v>
      </c>
      <c r="C420" s="2">
        <v>4.3550000000000005E-2</v>
      </c>
    </row>
    <row r="421" spans="2:3" x14ac:dyDescent="0.3">
      <c r="B421" s="1">
        <v>38322</v>
      </c>
      <c r="C421" s="2">
        <v>4.2220000000000008E-2</v>
      </c>
    </row>
    <row r="422" spans="2:3" x14ac:dyDescent="0.3">
      <c r="B422" s="1">
        <v>38353</v>
      </c>
      <c r="C422" s="2">
        <v>4.1319999999999996E-2</v>
      </c>
    </row>
    <row r="423" spans="2:3" x14ac:dyDescent="0.3">
      <c r="B423" s="1">
        <v>38384</v>
      </c>
      <c r="C423" s="2">
        <v>4.3810000000000002E-2</v>
      </c>
    </row>
    <row r="424" spans="2:3" x14ac:dyDescent="0.3">
      <c r="B424" s="1">
        <v>38412</v>
      </c>
      <c r="C424" s="2">
        <v>4.4880000000000003E-2</v>
      </c>
    </row>
    <row r="425" spans="2:3" x14ac:dyDescent="0.3">
      <c r="B425" s="1">
        <v>38443</v>
      </c>
      <c r="C425" s="2">
        <v>4.2000000000000003E-2</v>
      </c>
    </row>
    <row r="426" spans="2:3" x14ac:dyDescent="0.3">
      <c r="B426" s="1">
        <v>38473</v>
      </c>
      <c r="C426" s="2">
        <v>3.9870000000000003E-2</v>
      </c>
    </row>
    <row r="427" spans="2:3" x14ac:dyDescent="0.3">
      <c r="B427" s="1">
        <v>38504</v>
      </c>
      <c r="C427" s="2">
        <v>3.9209999999999995E-2</v>
      </c>
    </row>
    <row r="428" spans="2:3" x14ac:dyDescent="0.3">
      <c r="B428" s="1">
        <v>38534</v>
      </c>
      <c r="C428" s="2">
        <v>4.2819999999999997E-2</v>
      </c>
    </row>
    <row r="429" spans="2:3" x14ac:dyDescent="0.3">
      <c r="B429" s="1">
        <v>38565</v>
      </c>
      <c r="C429" s="2">
        <v>4.0140000000000002E-2</v>
      </c>
    </row>
    <row r="430" spans="2:3" x14ac:dyDescent="0.3">
      <c r="B430" s="1">
        <v>38596</v>
      </c>
      <c r="C430" s="2">
        <v>4.3319999999999997E-2</v>
      </c>
    </row>
    <row r="431" spans="2:3" x14ac:dyDescent="0.3">
      <c r="B431" s="1">
        <v>38626</v>
      </c>
      <c r="C431" s="2">
        <v>4.5570000000000006E-2</v>
      </c>
    </row>
    <row r="432" spans="2:3" x14ac:dyDescent="0.3">
      <c r="B432" s="1">
        <v>38657</v>
      </c>
      <c r="C432" s="2">
        <v>4.4900000000000002E-2</v>
      </c>
    </row>
    <row r="433" spans="2:3" x14ac:dyDescent="0.3">
      <c r="B433" s="1">
        <v>38687</v>
      </c>
      <c r="C433" s="2">
        <v>4.3949999999999996E-2</v>
      </c>
    </row>
    <row r="434" spans="2:3" x14ac:dyDescent="0.3">
      <c r="B434" s="1">
        <v>38718</v>
      </c>
      <c r="C434" s="2">
        <v>4.5190000000000001E-2</v>
      </c>
    </row>
    <row r="435" spans="2:3" x14ac:dyDescent="0.3">
      <c r="B435" s="1">
        <v>38749</v>
      </c>
      <c r="C435" s="2">
        <v>4.5570000000000006E-2</v>
      </c>
    </row>
    <row r="436" spans="2:3" x14ac:dyDescent="0.3">
      <c r="B436" s="1">
        <v>38777</v>
      </c>
      <c r="C436" s="2">
        <v>4.8529999999999997E-2</v>
      </c>
    </row>
    <row r="437" spans="2:3" x14ac:dyDescent="0.3">
      <c r="B437" s="1">
        <v>38808</v>
      </c>
      <c r="C437" s="2">
        <v>5.0570000000000004E-2</v>
      </c>
    </row>
    <row r="438" spans="2:3" x14ac:dyDescent="0.3">
      <c r="B438" s="1">
        <v>38838</v>
      </c>
      <c r="C438" s="2">
        <v>5.1230000000000005E-2</v>
      </c>
    </row>
    <row r="439" spans="2:3" x14ac:dyDescent="0.3">
      <c r="B439" s="1">
        <v>38869</v>
      </c>
      <c r="C439" s="2">
        <v>5.1449999999999996E-2</v>
      </c>
    </row>
    <row r="440" spans="2:3" x14ac:dyDescent="0.3">
      <c r="B440" s="1">
        <v>38899</v>
      </c>
      <c r="C440" s="2">
        <v>4.9880000000000008E-2</v>
      </c>
    </row>
    <row r="441" spans="2:3" x14ac:dyDescent="0.3">
      <c r="B441" s="1">
        <v>38930</v>
      </c>
      <c r="C441" s="2">
        <v>4.7320000000000001E-2</v>
      </c>
    </row>
    <row r="442" spans="2:3" x14ac:dyDescent="0.3">
      <c r="B442" s="1">
        <v>38961</v>
      </c>
      <c r="C442" s="2">
        <v>4.6330000000000003E-2</v>
      </c>
    </row>
    <row r="443" spans="2:3" x14ac:dyDescent="0.3">
      <c r="B443" s="1">
        <v>38991</v>
      </c>
      <c r="C443" s="2">
        <v>4.6039999999999998E-2</v>
      </c>
    </row>
    <row r="444" spans="2:3" x14ac:dyDescent="0.3">
      <c r="B444" s="1">
        <v>39022</v>
      </c>
      <c r="C444" s="2">
        <v>4.462E-2</v>
      </c>
    </row>
    <row r="445" spans="2:3" x14ac:dyDescent="0.3">
      <c r="B445" s="1">
        <v>39052</v>
      </c>
      <c r="C445" s="2">
        <v>4.7E-2</v>
      </c>
    </row>
    <row r="446" spans="2:3" x14ac:dyDescent="0.3">
      <c r="B446" s="1">
        <v>39083</v>
      </c>
      <c r="C446" s="2">
        <v>4.8140000000000002E-2</v>
      </c>
    </row>
    <row r="447" spans="2:3" x14ac:dyDescent="0.3">
      <c r="B447" s="1">
        <v>39114</v>
      </c>
      <c r="C447" s="2">
        <v>4.5769999999999998E-2</v>
      </c>
    </row>
    <row r="448" spans="2:3" x14ac:dyDescent="0.3">
      <c r="B448" s="1">
        <v>39142</v>
      </c>
      <c r="C448" s="2">
        <v>4.6479999999999994E-2</v>
      </c>
    </row>
    <row r="449" spans="2:3" x14ac:dyDescent="0.3">
      <c r="B449" s="1">
        <v>39173</v>
      </c>
      <c r="C449" s="2">
        <v>4.6280000000000002E-2</v>
      </c>
    </row>
    <row r="450" spans="2:3" x14ac:dyDescent="0.3">
      <c r="B450" s="1">
        <v>39203</v>
      </c>
      <c r="C450" s="2">
        <v>4.8920000000000005E-2</v>
      </c>
    </row>
    <row r="451" spans="2:3" x14ac:dyDescent="0.3">
      <c r="B451" s="1">
        <v>39234</v>
      </c>
      <c r="C451" s="2">
        <v>5.0270000000000002E-2</v>
      </c>
    </row>
    <row r="452" spans="2:3" x14ac:dyDescent="0.3">
      <c r="B452" s="1">
        <v>39264</v>
      </c>
      <c r="C452" s="2">
        <v>4.7329999999999997E-2</v>
      </c>
    </row>
    <row r="453" spans="2:3" x14ac:dyDescent="0.3">
      <c r="B453" s="1">
        <v>39295</v>
      </c>
      <c r="C453" s="2">
        <v>4.5270000000000005E-2</v>
      </c>
    </row>
    <row r="454" spans="2:3" x14ac:dyDescent="0.3">
      <c r="B454" s="1">
        <v>39326</v>
      </c>
      <c r="C454" s="2">
        <v>4.5940000000000002E-2</v>
      </c>
    </row>
    <row r="455" spans="2:3" x14ac:dyDescent="0.3">
      <c r="B455" s="1">
        <v>39356</v>
      </c>
      <c r="C455" s="2">
        <v>4.4729999999999999E-2</v>
      </c>
    </row>
    <row r="456" spans="2:3" x14ac:dyDescent="0.3">
      <c r="B456" s="1">
        <v>39387</v>
      </c>
      <c r="C456" s="2">
        <v>3.9489999999999997E-2</v>
      </c>
    </row>
    <row r="457" spans="2:3" x14ac:dyDescent="0.3">
      <c r="B457" s="1">
        <v>39417</v>
      </c>
      <c r="C457" s="2">
        <v>4.0350000000000004E-2</v>
      </c>
    </row>
    <row r="458" spans="2:3" x14ac:dyDescent="0.3">
      <c r="B458" s="1">
        <v>39448</v>
      </c>
      <c r="C458" s="2">
        <v>3.5970000000000002E-2</v>
      </c>
    </row>
    <row r="459" spans="2:3" x14ac:dyDescent="0.3">
      <c r="B459" s="1">
        <v>39479</v>
      </c>
      <c r="C459" s="2">
        <v>3.5189999999999999E-2</v>
      </c>
    </row>
    <row r="460" spans="2:3" x14ac:dyDescent="0.3">
      <c r="B460" s="1">
        <v>39508</v>
      </c>
      <c r="C460" s="2">
        <v>3.4209999999999997E-2</v>
      </c>
    </row>
    <row r="461" spans="2:3" x14ac:dyDescent="0.3">
      <c r="B461" s="1">
        <v>39539</v>
      </c>
      <c r="C461" s="2">
        <v>3.7339999999999998E-2</v>
      </c>
    </row>
    <row r="462" spans="2:3" x14ac:dyDescent="0.3">
      <c r="B462" s="1">
        <v>39569</v>
      </c>
      <c r="C462" s="2">
        <v>4.0670000000000005E-2</v>
      </c>
    </row>
    <row r="463" spans="2:3" x14ac:dyDescent="0.3">
      <c r="B463" s="1">
        <v>39600</v>
      </c>
      <c r="C463" s="2">
        <v>3.9750000000000001E-2</v>
      </c>
    </row>
    <row r="464" spans="2:3" x14ac:dyDescent="0.3">
      <c r="B464" s="1">
        <v>39630</v>
      </c>
      <c r="C464" s="2">
        <v>3.9580000000000004E-2</v>
      </c>
    </row>
    <row r="465" spans="2:3" x14ac:dyDescent="0.3">
      <c r="B465" s="1">
        <v>39661</v>
      </c>
      <c r="C465" s="2">
        <v>3.8249999999999999E-2</v>
      </c>
    </row>
    <row r="466" spans="2:3" x14ac:dyDescent="0.3">
      <c r="B466" s="1">
        <v>39692</v>
      </c>
      <c r="C466" s="2">
        <v>3.8290000000000005E-2</v>
      </c>
    </row>
    <row r="467" spans="2:3" x14ac:dyDescent="0.3">
      <c r="B467" s="1">
        <v>39722</v>
      </c>
      <c r="C467" s="2">
        <v>3.9699999999999999E-2</v>
      </c>
    </row>
    <row r="468" spans="2:3" x14ac:dyDescent="0.3">
      <c r="B468" s="1">
        <v>39753</v>
      </c>
      <c r="C468" s="2">
        <v>2.92E-2</v>
      </c>
    </row>
    <row r="469" spans="2:3" x14ac:dyDescent="0.3">
      <c r="B469" s="1">
        <v>39783</v>
      </c>
      <c r="C469" s="2">
        <v>2.2200000000000001E-2</v>
      </c>
    </row>
    <row r="470" spans="2:3" x14ac:dyDescent="0.3">
      <c r="B470" s="1">
        <v>39814</v>
      </c>
      <c r="C470" s="2">
        <v>2.8510000000000001E-2</v>
      </c>
    </row>
    <row r="471" spans="2:3" x14ac:dyDescent="0.3">
      <c r="B471" s="1">
        <v>39845</v>
      </c>
      <c r="C471" s="2">
        <v>3.0210000000000001E-2</v>
      </c>
    </row>
    <row r="472" spans="2:3" x14ac:dyDescent="0.3">
      <c r="B472" s="1">
        <v>39873</v>
      </c>
      <c r="C472" s="2">
        <v>2.6680000000000002E-2</v>
      </c>
    </row>
    <row r="473" spans="2:3" x14ac:dyDescent="0.3">
      <c r="B473" s="1">
        <v>39904</v>
      </c>
      <c r="C473" s="2">
        <v>3.1190000000000002E-2</v>
      </c>
    </row>
    <row r="474" spans="2:3" x14ac:dyDescent="0.3">
      <c r="B474" s="1">
        <v>39934</v>
      </c>
      <c r="C474" s="2">
        <v>3.4610000000000002E-2</v>
      </c>
    </row>
    <row r="475" spans="2:3" x14ac:dyDescent="0.3">
      <c r="B475" s="1">
        <v>39965</v>
      </c>
      <c r="C475" s="2">
        <v>3.5369999999999999E-2</v>
      </c>
    </row>
    <row r="476" spans="2:3" x14ac:dyDescent="0.3">
      <c r="B476" s="1">
        <v>39995</v>
      </c>
      <c r="C476" s="2">
        <v>3.4820000000000004E-2</v>
      </c>
    </row>
    <row r="477" spans="2:3" x14ac:dyDescent="0.3">
      <c r="B477" s="1">
        <v>40026</v>
      </c>
      <c r="C477" s="2">
        <v>3.4009999999999999E-2</v>
      </c>
    </row>
    <row r="478" spans="2:3" x14ac:dyDescent="0.3">
      <c r="B478" s="1">
        <v>40057</v>
      </c>
      <c r="C478" s="2">
        <v>3.3050000000000003E-2</v>
      </c>
    </row>
    <row r="479" spans="2:3" x14ac:dyDescent="0.3">
      <c r="B479" s="1">
        <v>40087</v>
      </c>
      <c r="C479" s="2">
        <v>3.388E-2</v>
      </c>
    </row>
    <row r="480" spans="2:3" x14ac:dyDescent="0.3">
      <c r="B480" s="1">
        <v>40118</v>
      </c>
      <c r="C480" s="2">
        <v>3.1980000000000001E-2</v>
      </c>
    </row>
    <row r="481" spans="2:3" x14ac:dyDescent="0.3">
      <c r="B481" s="1">
        <v>40148</v>
      </c>
      <c r="C481" s="2">
        <v>3.8370000000000001E-2</v>
      </c>
    </row>
    <row r="482" spans="2:3" x14ac:dyDescent="0.3">
      <c r="B482" s="1">
        <v>40179</v>
      </c>
      <c r="C482" s="2">
        <v>3.5880000000000002E-2</v>
      </c>
    </row>
    <row r="483" spans="2:3" x14ac:dyDescent="0.3">
      <c r="B483" s="1">
        <v>40210</v>
      </c>
      <c r="C483" s="2">
        <v>3.619E-2</v>
      </c>
    </row>
    <row r="484" spans="2:3" x14ac:dyDescent="0.3">
      <c r="B484" s="1">
        <v>40238</v>
      </c>
      <c r="C484" s="2">
        <v>3.8330000000000003E-2</v>
      </c>
    </row>
    <row r="485" spans="2:3" x14ac:dyDescent="0.3">
      <c r="B485" s="1">
        <v>40269</v>
      </c>
      <c r="C485" s="2">
        <v>3.6589999999999998E-2</v>
      </c>
    </row>
    <row r="486" spans="2:3" x14ac:dyDescent="0.3">
      <c r="B486" s="1">
        <v>40299</v>
      </c>
      <c r="C486" s="2">
        <v>3.3029999999999997E-2</v>
      </c>
    </row>
    <row r="487" spans="2:3" x14ac:dyDescent="0.3">
      <c r="B487" s="1">
        <v>40330</v>
      </c>
      <c r="C487" s="2">
        <v>2.9350000000000001E-2</v>
      </c>
    </row>
    <row r="488" spans="2:3" x14ac:dyDescent="0.3">
      <c r="B488" s="1">
        <v>40360</v>
      </c>
      <c r="C488" s="2">
        <v>2.9049999999999999E-2</v>
      </c>
    </row>
    <row r="489" spans="2:3" x14ac:dyDescent="0.3">
      <c r="B489" s="1">
        <v>40391</v>
      </c>
      <c r="C489" s="2">
        <v>2.4700000000000003E-2</v>
      </c>
    </row>
    <row r="490" spans="2:3" x14ac:dyDescent="0.3">
      <c r="B490" s="1">
        <v>40422</v>
      </c>
      <c r="C490" s="2">
        <v>2.512E-2</v>
      </c>
    </row>
    <row r="491" spans="2:3" x14ac:dyDescent="0.3">
      <c r="B491" s="1">
        <v>40452</v>
      </c>
      <c r="C491" s="2">
        <v>2.6030000000000001E-2</v>
      </c>
    </row>
    <row r="492" spans="2:3" x14ac:dyDescent="0.3">
      <c r="B492" s="1">
        <v>40483</v>
      </c>
      <c r="C492" s="2">
        <v>2.7970000000000002E-2</v>
      </c>
    </row>
    <row r="493" spans="2:3" x14ac:dyDescent="0.3">
      <c r="B493" s="1">
        <v>40513</v>
      </c>
      <c r="C493" s="2">
        <v>3.288E-2</v>
      </c>
    </row>
    <row r="494" spans="2:3" x14ac:dyDescent="0.3">
      <c r="B494" s="1">
        <v>40544</v>
      </c>
      <c r="C494" s="2">
        <v>3.3739999999999999E-2</v>
      </c>
    </row>
    <row r="495" spans="2:3" x14ac:dyDescent="0.3">
      <c r="B495" s="1">
        <v>40575</v>
      </c>
      <c r="C495" s="2">
        <v>3.422E-2</v>
      </c>
    </row>
    <row r="496" spans="2:3" x14ac:dyDescent="0.3">
      <c r="B496" s="1">
        <v>40603</v>
      </c>
      <c r="C496" s="2">
        <v>3.4700000000000002E-2</v>
      </c>
    </row>
    <row r="497" spans="2:3" x14ac:dyDescent="0.3">
      <c r="B497" s="1">
        <v>40634</v>
      </c>
      <c r="C497" s="2">
        <v>3.2899999999999999E-2</v>
      </c>
    </row>
    <row r="498" spans="2:3" x14ac:dyDescent="0.3">
      <c r="B498" s="1">
        <v>40664</v>
      </c>
      <c r="C498" s="2">
        <v>3.0590000000000003E-2</v>
      </c>
    </row>
    <row r="499" spans="2:3" x14ac:dyDescent="0.3">
      <c r="B499" s="1">
        <v>40695</v>
      </c>
      <c r="C499" s="2">
        <v>3.1600000000000003E-2</v>
      </c>
    </row>
    <row r="500" spans="2:3" x14ac:dyDescent="0.3">
      <c r="B500" s="1">
        <v>40725</v>
      </c>
      <c r="C500" s="2">
        <v>2.793E-2</v>
      </c>
    </row>
    <row r="501" spans="2:3" x14ac:dyDescent="0.3">
      <c r="B501" s="1">
        <v>40756</v>
      </c>
      <c r="C501" s="2">
        <v>2.2339999999999999E-2</v>
      </c>
    </row>
    <row r="502" spans="2:3" x14ac:dyDescent="0.3">
      <c r="B502" s="1">
        <v>40787</v>
      </c>
      <c r="C502" s="2">
        <v>1.917E-2</v>
      </c>
    </row>
    <row r="503" spans="2:3" x14ac:dyDescent="0.3">
      <c r="B503" s="1">
        <v>40817</v>
      </c>
      <c r="C503" s="2">
        <v>2.1160000000000002E-2</v>
      </c>
    </row>
    <row r="504" spans="2:3" x14ac:dyDescent="0.3">
      <c r="B504" s="1">
        <v>40848</v>
      </c>
      <c r="C504" s="2">
        <v>2.0720000000000002E-2</v>
      </c>
    </row>
    <row r="505" spans="2:3" x14ac:dyDescent="0.3">
      <c r="B505" s="1">
        <v>40878</v>
      </c>
      <c r="C505" s="2">
        <v>1.8759999999999999E-2</v>
      </c>
    </row>
    <row r="506" spans="2:3" x14ac:dyDescent="0.3">
      <c r="B506" s="1">
        <v>40909</v>
      </c>
      <c r="C506" s="2">
        <v>1.7950000000000001E-2</v>
      </c>
    </row>
    <row r="507" spans="2:3" x14ac:dyDescent="0.3">
      <c r="B507" s="1">
        <v>40940</v>
      </c>
      <c r="C507" s="2">
        <v>1.9740000000000001E-2</v>
      </c>
    </row>
    <row r="508" spans="2:3" x14ac:dyDescent="0.3">
      <c r="B508" s="1">
        <v>40969</v>
      </c>
      <c r="C508" s="2">
        <v>2.214E-2</v>
      </c>
    </row>
    <row r="509" spans="2:3" x14ac:dyDescent="0.3">
      <c r="B509" s="1">
        <v>41000</v>
      </c>
      <c r="C509" s="2">
        <v>1.9189999999999999E-2</v>
      </c>
    </row>
    <row r="510" spans="2:3" x14ac:dyDescent="0.3">
      <c r="B510" s="1">
        <v>41030</v>
      </c>
      <c r="C510" s="2">
        <v>1.5629999999999998E-2</v>
      </c>
    </row>
    <row r="511" spans="2:3" x14ac:dyDescent="0.3">
      <c r="B511" s="1">
        <v>41061</v>
      </c>
      <c r="C511" s="2">
        <v>1.643E-2</v>
      </c>
    </row>
    <row r="512" spans="2:3" x14ac:dyDescent="0.3">
      <c r="B512" s="1">
        <v>41091</v>
      </c>
      <c r="C512" s="2">
        <v>1.47E-2</v>
      </c>
    </row>
    <row r="513" spans="2:3" x14ac:dyDescent="0.3">
      <c r="B513" s="1">
        <v>41122</v>
      </c>
      <c r="C513" s="2">
        <v>1.5480000000000001E-2</v>
      </c>
    </row>
    <row r="514" spans="2:3" x14ac:dyDescent="0.3">
      <c r="B514" s="1">
        <v>41153</v>
      </c>
      <c r="C514" s="2">
        <v>1.6330000000000001E-2</v>
      </c>
    </row>
    <row r="515" spans="2:3" x14ac:dyDescent="0.3">
      <c r="B515" s="1">
        <v>41183</v>
      </c>
      <c r="C515" s="2">
        <v>1.694E-2</v>
      </c>
    </row>
    <row r="516" spans="2:3" x14ac:dyDescent="0.3">
      <c r="B516" s="1">
        <v>41214</v>
      </c>
      <c r="C516" s="2">
        <v>1.6160000000000001E-2</v>
      </c>
    </row>
    <row r="517" spans="2:3" x14ac:dyDescent="0.3">
      <c r="B517" s="1">
        <v>41244</v>
      </c>
      <c r="C517" s="2">
        <v>1.7569999999999999E-2</v>
      </c>
    </row>
    <row r="518" spans="2:3" x14ac:dyDescent="0.3">
      <c r="B518" s="1">
        <v>41275</v>
      </c>
      <c r="C518" s="2">
        <v>1.985E-2</v>
      </c>
    </row>
    <row r="519" spans="2:3" x14ac:dyDescent="0.3">
      <c r="B519" s="1">
        <v>41306</v>
      </c>
      <c r="C519" s="2">
        <v>1.881E-2</v>
      </c>
    </row>
    <row r="520" spans="2:3" x14ac:dyDescent="0.3">
      <c r="B520" s="1">
        <v>41334</v>
      </c>
      <c r="C520" s="2">
        <v>1.8520000000000002E-2</v>
      </c>
    </row>
    <row r="521" spans="2:3" x14ac:dyDescent="0.3">
      <c r="B521" s="1">
        <v>41365</v>
      </c>
      <c r="C521" s="2">
        <v>1.6730000000000002E-2</v>
      </c>
    </row>
    <row r="522" spans="2:3" x14ac:dyDescent="0.3">
      <c r="B522" s="1">
        <v>41395</v>
      </c>
      <c r="C522" s="2">
        <v>2.1320000000000002E-2</v>
      </c>
    </row>
    <row r="523" spans="2:3" x14ac:dyDescent="0.3">
      <c r="B523" s="1">
        <v>41426</v>
      </c>
      <c r="C523" s="2">
        <v>2.487E-2</v>
      </c>
    </row>
    <row r="524" spans="2:3" x14ac:dyDescent="0.3">
      <c r="B524" s="1">
        <v>41456</v>
      </c>
      <c r="C524" s="2">
        <v>2.588E-2</v>
      </c>
    </row>
    <row r="525" spans="2:3" x14ac:dyDescent="0.3">
      <c r="B525" s="1">
        <v>41487</v>
      </c>
      <c r="C525" s="2">
        <v>2.7890000000000002E-2</v>
      </c>
    </row>
    <row r="526" spans="2:3" x14ac:dyDescent="0.3">
      <c r="B526" s="1">
        <v>41518</v>
      </c>
      <c r="C526" s="2">
        <v>2.6150000000000003E-2</v>
      </c>
    </row>
    <row r="527" spans="2:3" x14ac:dyDescent="0.3">
      <c r="B527" s="1">
        <v>41548</v>
      </c>
      <c r="C527" s="2">
        <v>2.5520000000000001E-2</v>
      </c>
    </row>
    <row r="528" spans="2:3" x14ac:dyDescent="0.3">
      <c r="B528" s="1">
        <v>41579</v>
      </c>
      <c r="C528" s="2">
        <v>2.7459999999999998E-2</v>
      </c>
    </row>
    <row r="529" spans="2:3" x14ac:dyDescent="0.3">
      <c r="B529" s="1">
        <v>41609</v>
      </c>
      <c r="C529" s="2">
        <v>3.0259999999999999E-2</v>
      </c>
    </row>
    <row r="530" spans="2:3" x14ac:dyDescent="0.3">
      <c r="B530" s="1">
        <v>41640</v>
      </c>
      <c r="C530" s="2">
        <v>2.6440000000000002E-2</v>
      </c>
    </row>
    <row r="531" spans="2:3" x14ac:dyDescent="0.3">
      <c r="B531" s="1">
        <v>41671</v>
      </c>
      <c r="C531" s="2">
        <v>2.649E-2</v>
      </c>
    </row>
    <row r="532" spans="2:3" x14ac:dyDescent="0.3">
      <c r="B532" s="1">
        <v>41699</v>
      </c>
      <c r="C532" s="2">
        <v>2.7189999999999999E-2</v>
      </c>
    </row>
    <row r="533" spans="2:3" x14ac:dyDescent="0.3">
      <c r="B533" s="1">
        <v>41730</v>
      </c>
      <c r="C533" s="2">
        <v>2.6459999999999997E-2</v>
      </c>
    </row>
    <row r="534" spans="2:3" x14ac:dyDescent="0.3">
      <c r="B534" s="1">
        <v>41760</v>
      </c>
      <c r="C534" s="2">
        <v>2.4750000000000001E-2</v>
      </c>
    </row>
    <row r="535" spans="2:3" x14ac:dyDescent="0.3">
      <c r="B535" s="1">
        <v>41791</v>
      </c>
      <c r="C535" s="2">
        <v>2.5319999999999999E-2</v>
      </c>
    </row>
    <row r="536" spans="2:3" x14ac:dyDescent="0.3">
      <c r="B536" s="1">
        <v>41821</v>
      </c>
      <c r="C536" s="2">
        <v>2.5619999999999997E-2</v>
      </c>
    </row>
    <row r="537" spans="2:3" x14ac:dyDescent="0.3">
      <c r="B537" s="1">
        <v>41852</v>
      </c>
      <c r="C537" s="2">
        <v>2.3450000000000002E-2</v>
      </c>
    </row>
    <row r="538" spans="2:3" x14ac:dyDescent="0.3">
      <c r="B538" s="1">
        <v>41883</v>
      </c>
      <c r="C538" s="2">
        <v>2.495E-2</v>
      </c>
    </row>
    <row r="539" spans="2:3" x14ac:dyDescent="0.3">
      <c r="B539" s="1">
        <v>41913</v>
      </c>
      <c r="C539" s="2">
        <v>2.3349999999999999E-2</v>
      </c>
    </row>
    <row r="540" spans="2:3" x14ac:dyDescent="0.3">
      <c r="B540" s="1">
        <v>41944</v>
      </c>
      <c r="C540" s="2">
        <v>2.1729999999999999E-2</v>
      </c>
    </row>
    <row r="541" spans="2:3" x14ac:dyDescent="0.3">
      <c r="B541" s="1">
        <v>41974</v>
      </c>
      <c r="C541" s="2">
        <v>2.1700000000000001E-2</v>
      </c>
    </row>
    <row r="542" spans="2:3" x14ac:dyDescent="0.3">
      <c r="B542" s="1">
        <v>42005</v>
      </c>
      <c r="C542" s="2">
        <v>1.6390000000000002E-2</v>
      </c>
    </row>
    <row r="543" spans="2:3" x14ac:dyDescent="0.3">
      <c r="B543" s="1">
        <v>42036</v>
      </c>
      <c r="C543" s="2">
        <v>1.9970000000000002E-2</v>
      </c>
    </row>
    <row r="544" spans="2:3" x14ac:dyDescent="0.3">
      <c r="B544" s="1">
        <v>42064</v>
      </c>
      <c r="C544" s="2">
        <v>1.9269999999999999E-2</v>
      </c>
    </row>
    <row r="545" spans="2:3" x14ac:dyDescent="0.3">
      <c r="B545" s="1">
        <v>42095</v>
      </c>
      <c r="C545" s="2">
        <v>2.035E-2</v>
      </c>
    </row>
    <row r="546" spans="2:3" x14ac:dyDescent="0.3">
      <c r="B546" s="1">
        <v>42125</v>
      </c>
      <c r="C546" s="2">
        <v>2.1230000000000002E-2</v>
      </c>
    </row>
    <row r="547" spans="2:3" x14ac:dyDescent="0.3">
      <c r="B547" s="1">
        <v>42156</v>
      </c>
      <c r="C547" s="2">
        <v>2.349E-2</v>
      </c>
    </row>
    <row r="548" spans="2:3" x14ac:dyDescent="0.3">
      <c r="B548" s="1">
        <v>42186</v>
      </c>
      <c r="C548" s="2">
        <v>2.1869999999999997E-2</v>
      </c>
    </row>
    <row r="549" spans="2:3" x14ac:dyDescent="0.3">
      <c r="B549" s="1">
        <v>42217</v>
      </c>
      <c r="C549" s="2">
        <v>2.214E-2</v>
      </c>
    </row>
    <row r="550" spans="2:3" x14ac:dyDescent="0.3">
      <c r="B550" s="1">
        <v>42248</v>
      </c>
      <c r="C550" s="2">
        <v>2.035E-2</v>
      </c>
    </row>
    <row r="551" spans="2:3" x14ac:dyDescent="0.3">
      <c r="B551" s="1">
        <v>42278</v>
      </c>
      <c r="C551" s="2">
        <v>2.146E-2</v>
      </c>
    </row>
    <row r="552" spans="2:3" x14ac:dyDescent="0.3">
      <c r="B552" s="1">
        <v>42309</v>
      </c>
      <c r="C552" s="2">
        <v>2.2080000000000002E-2</v>
      </c>
    </row>
    <row r="553" spans="2:3" x14ac:dyDescent="0.3">
      <c r="B553" s="1">
        <v>42339</v>
      </c>
      <c r="C553" s="2">
        <v>2.2690000000000002E-2</v>
      </c>
    </row>
    <row r="554" spans="2:3" x14ac:dyDescent="0.3">
      <c r="B554" s="1">
        <v>42370</v>
      </c>
      <c r="C554" s="2">
        <v>1.9230000000000001E-2</v>
      </c>
    </row>
    <row r="555" spans="2:3" x14ac:dyDescent="0.3">
      <c r="B555" s="1">
        <v>42401</v>
      </c>
      <c r="C555" s="2">
        <v>1.738E-2</v>
      </c>
    </row>
    <row r="556" spans="2:3" x14ac:dyDescent="0.3">
      <c r="B556" s="1">
        <v>42430</v>
      </c>
      <c r="C556" s="2">
        <v>1.77E-2</v>
      </c>
    </row>
    <row r="557" spans="2:3" x14ac:dyDescent="0.3">
      <c r="B557" s="1">
        <v>42461</v>
      </c>
      <c r="C557" s="2">
        <v>1.8349999999999998E-2</v>
      </c>
    </row>
    <row r="558" spans="2:3" x14ac:dyDescent="0.3">
      <c r="B558" s="1">
        <v>42491</v>
      </c>
      <c r="C558" s="2">
        <v>1.8509999999999999E-2</v>
      </c>
    </row>
    <row r="559" spans="2:3" x14ac:dyDescent="0.3">
      <c r="B559" s="1">
        <v>42522</v>
      </c>
      <c r="C559" s="2">
        <v>1.4750000000000001E-2</v>
      </c>
    </row>
    <row r="560" spans="2:3" x14ac:dyDescent="0.3">
      <c r="B560" s="1">
        <v>42552</v>
      </c>
      <c r="C560" s="2">
        <v>1.4499999999999999E-2</v>
      </c>
    </row>
    <row r="561" spans="2:3" x14ac:dyDescent="0.3">
      <c r="B561" s="1">
        <v>42583</v>
      </c>
      <c r="C561" s="2">
        <v>1.5780000000000002E-2</v>
      </c>
    </row>
    <row r="562" spans="2:3" x14ac:dyDescent="0.3">
      <c r="B562" s="1">
        <v>42614</v>
      </c>
      <c r="C562" s="2">
        <v>1.5980000000000001E-2</v>
      </c>
    </row>
    <row r="563" spans="2:3" x14ac:dyDescent="0.3">
      <c r="B563" s="1">
        <v>42644</v>
      </c>
      <c r="C563" s="2">
        <v>1.8260000000000002E-2</v>
      </c>
    </row>
    <row r="564" spans="2:3" x14ac:dyDescent="0.3">
      <c r="B564" s="1">
        <v>42675</v>
      </c>
      <c r="C564" s="2">
        <v>2.3900000000000001E-2</v>
      </c>
    </row>
    <row r="565" spans="2:3" x14ac:dyDescent="0.3">
      <c r="B565" s="1">
        <v>42705</v>
      </c>
      <c r="C565" s="2">
        <v>2.4460000000000003E-2</v>
      </c>
    </row>
    <row r="566" spans="2:3" x14ac:dyDescent="0.3">
      <c r="B566" s="1">
        <v>42736</v>
      </c>
      <c r="C566" s="2">
        <v>2.4660000000000001E-2</v>
      </c>
    </row>
    <row r="567" spans="2:3" x14ac:dyDescent="0.3">
      <c r="B567" s="1">
        <v>42767</v>
      </c>
      <c r="C567" s="2">
        <v>2.3969999999999998E-2</v>
      </c>
    </row>
    <row r="568" spans="2:3" x14ac:dyDescent="0.3">
      <c r="B568" s="1">
        <v>42795</v>
      </c>
      <c r="C568" s="2">
        <v>2.3889999999999998E-2</v>
      </c>
    </row>
    <row r="569" spans="2:3" x14ac:dyDescent="0.3">
      <c r="B569" s="1">
        <v>42826</v>
      </c>
      <c r="C569" s="2">
        <v>2.2890000000000001E-2</v>
      </c>
    </row>
    <row r="570" spans="2:3" x14ac:dyDescent="0.3">
      <c r="B570" s="1">
        <v>42856</v>
      </c>
      <c r="C570" s="2">
        <v>2.206E-2</v>
      </c>
    </row>
    <row r="571" spans="2:3" x14ac:dyDescent="0.3">
      <c r="B571" s="1">
        <v>42887</v>
      </c>
      <c r="C571" s="2">
        <v>2.3039999999999998E-2</v>
      </c>
    </row>
    <row r="572" spans="2:3" x14ac:dyDescent="0.3">
      <c r="B572" s="1">
        <v>42917</v>
      </c>
      <c r="C572" s="2">
        <v>2.2959999999999998E-2</v>
      </c>
    </row>
    <row r="573" spans="2:3" x14ac:dyDescent="0.3">
      <c r="B573" s="1">
        <v>42948</v>
      </c>
      <c r="C573" s="2">
        <v>2.121E-2</v>
      </c>
    </row>
    <row r="574" spans="2:3" x14ac:dyDescent="0.3">
      <c r="B574" s="1">
        <v>42979</v>
      </c>
      <c r="C574" s="2">
        <v>2.3390000000000001E-2</v>
      </c>
    </row>
    <row r="575" spans="2:3" x14ac:dyDescent="0.3">
      <c r="B575" s="1">
        <v>43009</v>
      </c>
      <c r="C575" s="2">
        <v>2.3780000000000003E-2</v>
      </c>
    </row>
    <row r="576" spans="2:3" x14ac:dyDescent="0.3">
      <c r="B576" s="1">
        <v>43040</v>
      </c>
      <c r="C576" s="2">
        <v>2.4150000000000001E-2</v>
      </c>
    </row>
    <row r="577" spans="2:3" x14ac:dyDescent="0.3">
      <c r="B577" s="1">
        <v>43070</v>
      </c>
      <c r="C577" s="2">
        <v>2.4049999999999998E-2</v>
      </c>
    </row>
    <row r="578" spans="2:3" x14ac:dyDescent="0.3">
      <c r="B578" s="1">
        <v>43101</v>
      </c>
      <c r="C578" s="2">
        <v>2.7130000000000001E-2</v>
      </c>
    </row>
    <row r="579" spans="2:3" x14ac:dyDescent="0.3">
      <c r="B579" s="1">
        <v>43132</v>
      </c>
      <c r="C579" s="2">
        <v>2.8639999999999999E-2</v>
      </c>
    </row>
    <row r="580" spans="2:3" x14ac:dyDescent="0.3">
      <c r="B580" s="1">
        <v>43160</v>
      </c>
      <c r="C580" s="2">
        <v>2.741E-2</v>
      </c>
    </row>
    <row r="581" spans="2:3" x14ac:dyDescent="0.3">
      <c r="B581" s="1">
        <v>43191</v>
      </c>
      <c r="C581" s="2">
        <v>2.955E-2</v>
      </c>
    </row>
    <row r="582" spans="2:3" x14ac:dyDescent="0.3">
      <c r="B582" s="1">
        <v>43221</v>
      </c>
      <c r="C582" s="2">
        <v>2.86E-2</v>
      </c>
    </row>
    <row r="583" spans="2:3" x14ac:dyDescent="0.3">
      <c r="B583" s="1">
        <v>43252</v>
      </c>
      <c r="C583" s="2">
        <v>2.86E-2</v>
      </c>
    </row>
    <row r="584" spans="2:3" x14ac:dyDescent="0.3">
      <c r="B584" s="1">
        <v>43282</v>
      </c>
      <c r="C584" s="2">
        <v>2.962E-2</v>
      </c>
    </row>
    <row r="585" spans="2:3" x14ac:dyDescent="0.3">
      <c r="B585" s="1">
        <v>43313</v>
      </c>
      <c r="C585" s="2">
        <v>2.86E-2</v>
      </c>
    </row>
    <row r="586" spans="2:3" x14ac:dyDescent="0.3">
      <c r="B586" s="1">
        <v>43344</v>
      </c>
      <c r="C586" s="2">
        <v>3.065E-2</v>
      </c>
    </row>
    <row r="587" spans="2:3" x14ac:dyDescent="0.3">
      <c r="B587" s="1">
        <v>43374</v>
      </c>
      <c r="C587" s="2">
        <v>3.1489999999999997E-2</v>
      </c>
    </row>
    <row r="588" spans="2:3" x14ac:dyDescent="0.3">
      <c r="B588" s="1">
        <v>43405</v>
      </c>
      <c r="C588" s="2">
        <v>2.9929999999999998E-2</v>
      </c>
    </row>
    <row r="589" spans="2:3" x14ac:dyDescent="0.3">
      <c r="B589" s="1">
        <v>43435</v>
      </c>
      <c r="C589" s="2">
        <v>2.6859999999999998E-2</v>
      </c>
    </row>
    <row r="590" spans="2:3" x14ac:dyDescent="0.3">
      <c r="B590" s="1">
        <v>43466</v>
      </c>
      <c r="C590" s="2">
        <v>2.6329999999999999E-2</v>
      </c>
    </row>
    <row r="591" spans="2:3" x14ac:dyDescent="0.3">
      <c r="B591" s="1">
        <v>43497</v>
      </c>
      <c r="C591" s="2">
        <v>2.717E-2</v>
      </c>
    </row>
    <row r="592" spans="2:3" x14ac:dyDescent="0.3">
      <c r="B592" s="1">
        <v>43525</v>
      </c>
      <c r="C592" s="2">
        <v>2.4070000000000001E-2</v>
      </c>
    </row>
    <row r="593" spans="2:3" x14ac:dyDescent="0.3">
      <c r="B593" s="1">
        <v>43556</v>
      </c>
      <c r="C593" s="2">
        <v>2.504E-2</v>
      </c>
    </row>
    <row r="594" spans="2:3" x14ac:dyDescent="0.3">
      <c r="B594" s="1">
        <v>43586</v>
      </c>
      <c r="C594" s="2">
        <v>2.1330000000000002E-2</v>
      </c>
    </row>
    <row r="595" spans="2:3" x14ac:dyDescent="0.3">
      <c r="B595" s="1">
        <v>43617</v>
      </c>
      <c r="C595" s="2">
        <v>2.0070000000000001E-2</v>
      </c>
    </row>
    <row r="596" spans="2:3" x14ac:dyDescent="0.3">
      <c r="B596" s="1">
        <v>43647</v>
      </c>
      <c r="C596" s="2">
        <v>2.0070000000000001E-2</v>
      </c>
    </row>
    <row r="597" spans="2:3" x14ac:dyDescent="0.3">
      <c r="B597" s="1">
        <v>43678</v>
      </c>
      <c r="C597" s="2">
        <v>1.4990000000000002E-2</v>
      </c>
    </row>
    <row r="598" spans="2:3" x14ac:dyDescent="0.3">
      <c r="B598" s="1">
        <v>43709</v>
      </c>
      <c r="C598" s="2">
        <v>1.668E-2</v>
      </c>
    </row>
    <row r="599" spans="2:3" x14ac:dyDescent="0.3">
      <c r="B599" s="1">
        <v>43739</v>
      </c>
      <c r="C599" s="2">
        <v>1.6879999999999999E-2</v>
      </c>
    </row>
    <row r="600" spans="2:3" x14ac:dyDescent="0.3">
      <c r="B600" s="1">
        <v>43770</v>
      </c>
      <c r="C600" s="2">
        <v>1.7739999999999999E-2</v>
      </c>
    </row>
    <row r="601" spans="2:3" x14ac:dyDescent="0.3">
      <c r="B601" s="1">
        <v>43800</v>
      </c>
      <c r="C601" s="2">
        <v>1.9189999999999999E-2</v>
      </c>
    </row>
    <row r="602" spans="2:3" x14ac:dyDescent="0.3">
      <c r="B602" s="1">
        <v>43831</v>
      </c>
      <c r="C602" s="2">
        <v>1.5049999999999999E-2</v>
      </c>
    </row>
    <row r="603" spans="2:3" x14ac:dyDescent="0.3">
      <c r="B603" s="1">
        <v>43862</v>
      </c>
      <c r="C603" s="2">
        <v>1.163E-2</v>
      </c>
    </row>
    <row r="604" spans="2:3" x14ac:dyDescent="0.3">
      <c r="B604" s="1">
        <v>43891</v>
      </c>
      <c r="C604" s="2">
        <v>6.6800000000000002E-3</v>
      </c>
    </row>
    <row r="605" spans="2:3" x14ac:dyDescent="0.3">
      <c r="B605" s="1">
        <v>43922</v>
      </c>
      <c r="C605" s="2">
        <v>6.4600000000000005E-3</v>
      </c>
    </row>
    <row r="606" spans="2:3" x14ac:dyDescent="0.3">
      <c r="B606" s="1">
        <v>43952</v>
      </c>
      <c r="C606" s="2">
        <v>6.5300000000000002E-3</v>
      </c>
    </row>
    <row r="607" spans="2:3" x14ac:dyDescent="0.3">
      <c r="B607" s="1">
        <v>43983</v>
      </c>
      <c r="C607" s="2">
        <v>6.5799999999999999E-3</v>
      </c>
    </row>
    <row r="608" spans="2:3" x14ac:dyDescent="0.3">
      <c r="B608" s="1">
        <v>44013</v>
      </c>
      <c r="C608" s="2">
        <v>5.3300000000000005E-3</v>
      </c>
    </row>
    <row r="609" spans="2:3" x14ac:dyDescent="0.3">
      <c r="B609" s="1">
        <v>44044</v>
      </c>
      <c r="C609" s="2">
        <v>7.0599999999999994E-3</v>
      </c>
    </row>
    <row r="610" spans="2:3" x14ac:dyDescent="0.3">
      <c r="B610" s="1">
        <v>44075</v>
      </c>
      <c r="C610" s="2">
        <v>6.8600000000000006E-3</v>
      </c>
    </row>
    <row r="611" spans="2:3" x14ac:dyDescent="0.3">
      <c r="B611" s="1">
        <v>44105</v>
      </c>
      <c r="C611" s="2">
        <v>8.7399999999999995E-3</v>
      </c>
    </row>
    <row r="612" spans="2:3" x14ac:dyDescent="0.3">
      <c r="B612" s="1">
        <v>44136</v>
      </c>
      <c r="C612" s="2">
        <v>8.4200000000000004E-3</v>
      </c>
    </row>
    <row r="613" spans="2:3" x14ac:dyDescent="0.3">
      <c r="B613" s="1">
        <v>44166</v>
      </c>
      <c r="C613" s="2">
        <v>9.1599999999999997E-3</v>
      </c>
    </row>
    <row r="614" spans="2:3" x14ac:dyDescent="0.3">
      <c r="B614" s="1">
        <v>44197</v>
      </c>
      <c r="C614" s="2">
        <v>1.0709999999999999E-2</v>
      </c>
    </row>
    <row r="615" spans="2:3" x14ac:dyDescent="0.3">
      <c r="B615" s="1">
        <v>44228</v>
      </c>
      <c r="C615" s="2">
        <v>1.4070000000000001E-2</v>
      </c>
    </row>
    <row r="616" spans="2:3" x14ac:dyDescent="0.3">
      <c r="B616" s="1">
        <v>44256</v>
      </c>
      <c r="C616" s="2">
        <v>1.7440000000000001E-2</v>
      </c>
    </row>
    <row r="617" spans="2:3" x14ac:dyDescent="0.3">
      <c r="B617" s="1">
        <v>44287</v>
      </c>
      <c r="C617" s="2">
        <v>1.626E-2</v>
      </c>
    </row>
    <row r="618" spans="2:3" x14ac:dyDescent="0.3">
      <c r="B618" s="1">
        <v>44317</v>
      </c>
      <c r="C618" s="2">
        <v>1.5810000000000001E-2</v>
      </c>
    </row>
    <row r="619" spans="2:3" x14ac:dyDescent="0.3">
      <c r="B619" s="1">
        <v>44348</v>
      </c>
      <c r="C619" s="2">
        <v>1.468E-2</v>
      </c>
    </row>
    <row r="620" spans="2:3" x14ac:dyDescent="0.3">
      <c r="B620" s="1">
        <v>44378</v>
      </c>
      <c r="C620" s="2">
        <v>1.226E-2</v>
      </c>
    </row>
    <row r="621" spans="2:3" x14ac:dyDescent="0.3">
      <c r="B621" s="1">
        <v>44409</v>
      </c>
      <c r="C621" s="2">
        <v>1.307E-2</v>
      </c>
    </row>
    <row r="622" spans="2:3" x14ac:dyDescent="0.3">
      <c r="B622" s="1">
        <v>44440</v>
      </c>
      <c r="C622" s="2">
        <v>1.4919999999999999E-2</v>
      </c>
    </row>
    <row r="623" spans="2:3" x14ac:dyDescent="0.3">
      <c r="B623" s="1">
        <v>44470</v>
      </c>
      <c r="C623" s="2">
        <v>1.5609999999999999E-2</v>
      </c>
    </row>
    <row r="624" spans="2:3" x14ac:dyDescent="0.3">
      <c r="B624" s="1">
        <v>44501</v>
      </c>
      <c r="C624" s="2">
        <v>1.456E-2</v>
      </c>
    </row>
    <row r="625" spans="2:3" x14ac:dyDescent="0.3">
      <c r="B625" s="1">
        <v>44531</v>
      </c>
      <c r="C625" s="2">
        <v>1.512E-2</v>
      </c>
    </row>
    <row r="626" spans="2:3" x14ac:dyDescent="0.3">
      <c r="B626" s="1">
        <v>44562</v>
      </c>
      <c r="C626" s="2">
        <v>1.7840000000000002E-2</v>
      </c>
    </row>
    <row r="627" spans="2:3" x14ac:dyDescent="0.3">
      <c r="B627" s="1">
        <v>44593</v>
      </c>
      <c r="C627" s="2">
        <v>1.822E-2</v>
      </c>
    </row>
    <row r="628" spans="2:3" x14ac:dyDescent="0.3">
      <c r="B628" s="1">
        <v>44621</v>
      </c>
      <c r="C628" s="2">
        <v>2.3450000000000002E-2</v>
      </c>
    </row>
    <row r="629" spans="2:3" x14ac:dyDescent="0.3">
      <c r="B629" s="1">
        <v>44652</v>
      </c>
      <c r="C629" s="2">
        <v>2.9380000000000003E-2</v>
      </c>
    </row>
    <row r="630" spans="2:3" x14ac:dyDescent="0.3">
      <c r="B630" s="1">
        <v>44682</v>
      </c>
      <c r="C630" s="2">
        <v>2.8490000000000001E-2</v>
      </c>
    </row>
    <row r="631" spans="2:3" x14ac:dyDescent="0.3">
      <c r="B631" s="1">
        <v>44713</v>
      </c>
      <c r="C631" s="2">
        <v>3.0169999999999999E-2</v>
      </c>
    </row>
    <row r="632" spans="2:3" x14ac:dyDescent="0.3">
      <c r="B632" s="1">
        <v>44743</v>
      </c>
      <c r="C632" s="2">
        <v>2.6579999999999999E-2</v>
      </c>
    </row>
    <row r="633" spans="2:3" x14ac:dyDescent="0.3">
      <c r="B633" s="1">
        <v>44774</v>
      </c>
      <c r="C633" s="2">
        <v>3.1960000000000002E-2</v>
      </c>
    </row>
    <row r="634" spans="2:3" x14ac:dyDescent="0.3">
      <c r="B634" s="1">
        <v>44805</v>
      </c>
      <c r="C634" s="2">
        <v>3.8290000000000005E-2</v>
      </c>
    </row>
    <row r="635" spans="2:3" x14ac:dyDescent="0.3">
      <c r="B635" s="1">
        <v>44835</v>
      </c>
      <c r="C635" s="2">
        <v>4.0500000000000001E-2</v>
      </c>
    </row>
    <row r="636" spans="2:3" x14ac:dyDescent="0.3">
      <c r="B636" s="1">
        <v>44866</v>
      </c>
      <c r="C636" s="2">
        <v>3.6110000000000003E-2</v>
      </c>
    </row>
    <row r="637" spans="2:3" x14ac:dyDescent="0.3">
      <c r="B637" s="1">
        <v>44896</v>
      </c>
      <c r="C637" s="2">
        <v>3.8789999999999998E-2</v>
      </c>
    </row>
    <row r="638" spans="2:3" x14ac:dyDescent="0.3">
      <c r="B638" s="1">
        <v>44927</v>
      </c>
      <c r="C638" s="2">
        <v>3.5099999999999999E-2</v>
      </c>
    </row>
    <row r="639" spans="2:3" x14ac:dyDescent="0.3">
      <c r="B639" s="1">
        <v>44958</v>
      </c>
      <c r="C639" s="2">
        <v>3.9280000000000002E-2</v>
      </c>
    </row>
    <row r="640" spans="2:3" x14ac:dyDescent="0.3">
      <c r="B640" s="1">
        <v>44986</v>
      </c>
      <c r="C640" s="2">
        <v>3.4729999999999997E-2</v>
      </c>
    </row>
    <row r="641" spans="2:3" x14ac:dyDescent="0.3">
      <c r="B641" s="1">
        <v>45017</v>
      </c>
      <c r="C641" s="2">
        <v>3.4329999999999999E-2</v>
      </c>
    </row>
    <row r="642" spans="2:3" x14ac:dyDescent="0.3">
      <c r="B642" s="1">
        <v>45047</v>
      </c>
      <c r="C642" s="2">
        <v>3.6459999999999999E-2</v>
      </c>
    </row>
    <row r="643" spans="2:3" x14ac:dyDescent="0.3">
      <c r="B643" s="1">
        <v>45078</v>
      </c>
      <c r="C643" s="2">
        <v>3.841E-2</v>
      </c>
    </row>
    <row r="644" spans="2:3" x14ac:dyDescent="0.3">
      <c r="B644" s="1">
        <v>45108</v>
      </c>
      <c r="C644" s="2">
        <v>3.9670000000000004E-2</v>
      </c>
    </row>
    <row r="645" spans="2:3" x14ac:dyDescent="0.3">
      <c r="B645" s="1">
        <v>45139</v>
      </c>
      <c r="C645" s="2">
        <v>4.1059999999999999E-2</v>
      </c>
    </row>
    <row r="646" spans="2:3" x14ac:dyDescent="0.3">
      <c r="B646" s="1">
        <v>45170</v>
      </c>
      <c r="C646" s="2">
        <v>4.5789999999999997E-2</v>
      </c>
    </row>
    <row r="647" spans="2:3" x14ac:dyDescent="0.3">
      <c r="B647" s="1">
        <v>45200</v>
      </c>
      <c r="C647" s="2">
        <v>4.9259999999999998E-2</v>
      </c>
    </row>
    <row r="648" spans="2:3" x14ac:dyDescent="0.3">
      <c r="B648" s="1">
        <v>45231</v>
      </c>
      <c r="C648" s="2">
        <v>4.3299999999999998E-2</v>
      </c>
    </row>
    <row r="649" spans="2:3" x14ac:dyDescent="0.3">
      <c r="B649" s="1">
        <v>45261</v>
      </c>
      <c r="C649" s="2">
        <v>3.866E-2</v>
      </c>
    </row>
    <row r="650" spans="2:3" x14ac:dyDescent="0.3">
      <c r="B650" s="1">
        <v>45292</v>
      </c>
      <c r="C650" s="2">
        <v>3.918E-2</v>
      </c>
    </row>
    <row r="651" spans="2:3" x14ac:dyDescent="0.3">
      <c r="B651" s="1">
        <v>45323</v>
      </c>
      <c r="C651" s="2">
        <v>4.2539999999999994E-2</v>
      </c>
    </row>
    <row r="652" spans="2:3" x14ac:dyDescent="0.3">
      <c r="B652" s="1">
        <v>45352</v>
      </c>
      <c r="C652" s="2">
        <v>4.2060000000000007E-2</v>
      </c>
    </row>
    <row r="653" spans="2:3" x14ac:dyDescent="0.3">
      <c r="B653" s="1">
        <v>45383</v>
      </c>
      <c r="C653" s="2">
        <v>4.6820000000000001E-2</v>
      </c>
    </row>
    <row r="654" spans="2:3" x14ac:dyDescent="0.3">
      <c r="B654" s="1">
        <v>45413</v>
      </c>
      <c r="C654" s="2">
        <v>4.5030000000000001E-2</v>
      </c>
    </row>
    <row r="655" spans="2:3" x14ac:dyDescent="0.3">
      <c r="B655" s="1">
        <v>45444</v>
      </c>
      <c r="C655" s="2">
        <v>4.3920000000000001E-2</v>
      </c>
    </row>
    <row r="656" spans="2:3" x14ac:dyDescent="0.3">
      <c r="B656" s="1">
        <v>45474</v>
      </c>
      <c r="C656" s="2">
        <v>4.0330000000000005E-2</v>
      </c>
    </row>
    <row r="657" spans="2:3" x14ac:dyDescent="0.3">
      <c r="B657" s="1">
        <v>45505</v>
      </c>
      <c r="C657" s="2">
        <v>3.909E-2</v>
      </c>
    </row>
    <row r="658" spans="2:3" x14ac:dyDescent="0.3">
      <c r="B658" s="1">
        <v>45536</v>
      </c>
      <c r="C658" s="2">
        <v>3.7859999999999998E-2</v>
      </c>
    </row>
    <row r="659" spans="2:3" x14ac:dyDescent="0.3">
      <c r="B659" s="1">
        <v>45566</v>
      </c>
      <c r="C659" s="2">
        <v>4.2809999999999994E-2</v>
      </c>
    </row>
    <row r="660" spans="2:3" x14ac:dyDescent="0.3">
      <c r="B660" s="1">
        <v>45597</v>
      </c>
      <c r="C660" s="2">
        <v>4.1769999999999995E-2</v>
      </c>
    </row>
    <row r="661" spans="2:3" x14ac:dyDescent="0.3">
      <c r="B661" s="1">
        <v>45627</v>
      </c>
      <c r="C661" s="2">
        <v>4.5720000000000004E-2</v>
      </c>
    </row>
    <row r="662" spans="2:3" x14ac:dyDescent="0.3">
      <c r="B662" s="1">
        <v>45658</v>
      </c>
      <c r="C662" s="2">
        <v>4.5419999999999995E-2</v>
      </c>
    </row>
    <row r="663" spans="2:3" x14ac:dyDescent="0.3">
      <c r="B663" s="1">
        <v>45689</v>
      </c>
      <c r="C663" s="2">
        <v>4.2020000000000002E-2</v>
      </c>
    </row>
    <row r="664" spans="2:3" x14ac:dyDescent="0.3">
      <c r="B664" s="1">
        <v>45717</v>
      </c>
      <c r="C664" s="2">
        <v>4.2099999999999999E-2</v>
      </c>
    </row>
    <row r="665" spans="2:3" x14ac:dyDescent="0.3">
      <c r="B665" s="1">
        <v>45748</v>
      </c>
      <c r="C665" s="2">
        <v>4.1749999999999995E-2</v>
      </c>
    </row>
    <row r="666" spans="2:3" x14ac:dyDescent="0.3">
      <c r="B666" s="1">
        <v>45778</v>
      </c>
      <c r="C666" s="2">
        <v>4.4180000000000004E-2</v>
      </c>
    </row>
    <row r="667" spans="2:3" x14ac:dyDescent="0.3">
      <c r="B667" s="1">
        <v>45809</v>
      </c>
      <c r="C667" s="2">
        <v>4.2259999999999999E-2</v>
      </c>
    </row>
    <row r="668" spans="2:3" x14ac:dyDescent="0.3">
      <c r="B668" s="1">
        <v>45839</v>
      </c>
      <c r="C668" s="2">
        <v>4.36E-2</v>
      </c>
    </row>
    <row r="669" spans="2:3" x14ac:dyDescent="0.3">
      <c r="B669" s="1">
        <v>45870</v>
      </c>
      <c r="C669" s="2">
        <v>4.2259999999999999E-2</v>
      </c>
    </row>
    <row r="670" spans="2:3" x14ac:dyDescent="0.3">
      <c r="B670" s="1">
        <v>45901</v>
      </c>
      <c r="C670" s="2">
        <v>4.1500000000000002E-2</v>
      </c>
    </row>
    <row r="671" spans="2:3" x14ac:dyDescent="0.3">
      <c r="B671" s="1">
        <v>45931</v>
      </c>
      <c r="C671" s="2">
        <v>4.1009999999999998E-2</v>
      </c>
    </row>
    <row r="672" spans="2:3" x14ac:dyDescent="0.3">
      <c r="B672" s="1">
        <v>45962</v>
      </c>
      <c r="C672" s="2">
        <v>4.1169999999999998E-2</v>
      </c>
    </row>
    <row r="674" spans="2:2" x14ac:dyDescent="0.3">
      <c r="B674" s="4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Valuation&gt;</vt:lpstr>
      <vt:lpstr>Valuation</vt:lpstr>
      <vt:lpstr>Data&gt;</vt:lpstr>
      <vt:lpstr>Exp. Div&amp;BB</vt:lpstr>
      <vt:lpstr>S&amp;P 500 EPS Growth</vt:lpstr>
      <vt:lpstr>S&amp;P 500 Historical</vt:lpstr>
      <vt:lpstr>ERP Historical</vt:lpstr>
      <vt:lpstr>Rf 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Mandhana</dc:creator>
  <cp:lastModifiedBy>Suyash Mandhana</cp:lastModifiedBy>
  <cp:lastPrinted>2025-12-04T14:53:45Z</cp:lastPrinted>
  <dcterms:created xsi:type="dcterms:W3CDTF">2015-06-05T18:17:20Z</dcterms:created>
  <dcterms:modified xsi:type="dcterms:W3CDTF">2026-03-26T07:43:24Z</dcterms:modified>
</cp:coreProperties>
</file>